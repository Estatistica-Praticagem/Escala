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ome Office\Desktop\"/>
    </mc:Choice>
  </mc:AlternateContent>
  <xr:revisionPtr revIDLastSave="0" documentId="13_ncr:1_{27CF4468-3E25-4E2B-B04A-8A1D6D4E0819}" xr6:coauthVersionLast="36" xr6:coauthVersionMax="36" xr10:uidLastSave="{00000000-0000-0000-0000-000000000000}"/>
  <bookViews>
    <workbookView xWindow="-120" yWindow="-120" windowWidth="29040" windowHeight="15720" tabRatio="749" firstSheet="1" activeTab="5" xr2:uid="{00000000-000D-0000-FFFF-FFFF00000000}"/>
  </bookViews>
  <sheets>
    <sheet name="esqueleto 4x3 - FINAL" sheetId="136" r:id="rId1"/>
    <sheet name="esqueleto 4x2 - FINAL" sheetId="128" r:id="rId2"/>
    <sheet name="esqueleto 4x1 - FINAL" sheetId="149" r:id="rId3"/>
    <sheet name="TORRE-FEV" sheetId="220" r:id="rId4"/>
    <sheet name="torre fevereiro" sheetId="219" r:id="rId5"/>
    <sheet name="TORRE-MAR" sheetId="225" r:id="rId6"/>
    <sheet name="torre março" sheetId="226" r:id="rId7"/>
    <sheet name="TORRE-ABRIL" sheetId="218" r:id="rId8"/>
    <sheet name="torre Abril" sheetId="227" r:id="rId9"/>
    <sheet name="esqueleto 4x2 e 4x1 - Thais" sheetId="108" state="hidden" r:id="rId10"/>
    <sheet name="esqueleto 4x2" sheetId="94" state="hidden" r:id="rId11"/>
    <sheet name="esqueleto 4x1 - PLANTÕES" sheetId="123" state="hidden" r:id="rId12"/>
    <sheet name="esqueleto 4x1 - Com Folgas" sheetId="102" state="hidden" r:id="rId13"/>
    <sheet name="esqueleto 4x2 UM LADO" sheetId="122" state="hidden" r:id="rId14"/>
  </sheets>
  <definedNames>
    <definedName name="_xlnm._FilterDatabase" localSheetId="12" hidden="1">'esqueleto 4x1 - Com Folgas'!$B$11:$V$42</definedName>
    <definedName name="_xlnm._FilterDatabase" localSheetId="2" hidden="1">'esqueleto 4x1 - FINAL'!$B$11:$T$42</definedName>
    <definedName name="_xlnm._FilterDatabase" localSheetId="11" hidden="1">'esqueleto 4x1 - PLANTÕES'!$B$11:$R$42</definedName>
    <definedName name="_xlnm._FilterDatabase" localSheetId="10" hidden="1">'esqueleto 4x2'!$B$11:$V$42</definedName>
    <definedName name="_xlnm._FilterDatabase" localSheetId="1" hidden="1">'esqueleto 4x2 - FINAL'!$B$11:$T$42</definedName>
    <definedName name="_xlnm._FilterDatabase" localSheetId="9" hidden="1">'esqueleto 4x2 e 4x1 - Thais'!$B$11:$V$42</definedName>
    <definedName name="_xlnm._FilterDatabase" localSheetId="13" hidden="1">'esqueleto 4x2 UM LADO'!$B$11:$V$42</definedName>
    <definedName name="_xlnm._FilterDatabase" localSheetId="0" hidden="1">'esqueleto 4x3 - FINAL'!$B$11:$T$42</definedName>
    <definedName name="_xlnm.Print_Area" localSheetId="7">'TORRE-ABRIL'!$J$3:$AE$47</definedName>
    <definedName name="_xlnm.Print_Area" localSheetId="3">'TORRE-FEV'!$J$3:$AE$47</definedName>
    <definedName name="_xlnm.Print_Area" localSheetId="5">'TORRE-MAR'!$J$3:$AE$47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6" i="226" l="1"/>
  <c r="M41" i="225" s="1"/>
  <c r="H26" i="227"/>
  <c r="V56" i="227"/>
  <c r="T56" i="227"/>
  <c r="R56" i="227"/>
  <c r="P56" i="227"/>
  <c r="N56" i="227"/>
  <c r="L56" i="227"/>
  <c r="J56" i="227"/>
  <c r="H56" i="227"/>
  <c r="F56" i="227"/>
  <c r="D56" i="227"/>
  <c r="V55" i="227"/>
  <c r="T55" i="227"/>
  <c r="R55" i="227"/>
  <c r="P55" i="227"/>
  <c r="N55" i="227"/>
  <c r="L55" i="227"/>
  <c r="J55" i="227"/>
  <c r="H55" i="227"/>
  <c r="F55" i="227"/>
  <c r="D55" i="227"/>
  <c r="V54" i="227"/>
  <c r="T54" i="227"/>
  <c r="R54" i="227"/>
  <c r="P54" i="227"/>
  <c r="N54" i="227"/>
  <c r="L54" i="227"/>
  <c r="J54" i="227"/>
  <c r="H54" i="227"/>
  <c r="F54" i="227"/>
  <c r="D54" i="227"/>
  <c r="V53" i="227"/>
  <c r="T53" i="227"/>
  <c r="R53" i="227"/>
  <c r="P53" i="227"/>
  <c r="N53" i="227"/>
  <c r="L53" i="227"/>
  <c r="J53" i="227"/>
  <c r="H53" i="227"/>
  <c r="F53" i="227"/>
  <c r="D53" i="227"/>
  <c r="V52" i="227"/>
  <c r="T52" i="227"/>
  <c r="R52" i="227"/>
  <c r="P52" i="227"/>
  <c r="N52" i="227"/>
  <c r="L52" i="227"/>
  <c r="J52" i="227"/>
  <c r="H52" i="227"/>
  <c r="F52" i="227"/>
  <c r="D52" i="227"/>
  <c r="V51" i="227"/>
  <c r="T51" i="227"/>
  <c r="R51" i="227"/>
  <c r="P51" i="227"/>
  <c r="N51" i="227"/>
  <c r="L51" i="227"/>
  <c r="J51" i="227"/>
  <c r="H51" i="227"/>
  <c r="F51" i="227"/>
  <c r="D51" i="227"/>
  <c r="V50" i="227"/>
  <c r="T50" i="227"/>
  <c r="R50" i="227"/>
  <c r="P50" i="227"/>
  <c r="N50" i="227"/>
  <c r="L50" i="227"/>
  <c r="J50" i="227"/>
  <c r="H50" i="227"/>
  <c r="F50" i="227"/>
  <c r="D50" i="227"/>
  <c r="V49" i="227"/>
  <c r="T49" i="227"/>
  <c r="R49" i="227"/>
  <c r="P49" i="227"/>
  <c r="N49" i="227"/>
  <c r="L49" i="227"/>
  <c r="J49" i="227"/>
  <c r="H49" i="227"/>
  <c r="F49" i="227"/>
  <c r="D49" i="227"/>
  <c r="V48" i="227"/>
  <c r="T48" i="227"/>
  <c r="R48" i="227"/>
  <c r="P48" i="227"/>
  <c r="N48" i="227"/>
  <c r="L48" i="227"/>
  <c r="J48" i="227"/>
  <c r="H48" i="227"/>
  <c r="F48" i="227"/>
  <c r="D48" i="227"/>
  <c r="V47" i="227"/>
  <c r="T47" i="227"/>
  <c r="R47" i="227"/>
  <c r="P47" i="227"/>
  <c r="N47" i="227"/>
  <c r="L47" i="227"/>
  <c r="J47" i="227"/>
  <c r="H47" i="227"/>
  <c r="F47" i="227"/>
  <c r="D47" i="227"/>
  <c r="V46" i="227"/>
  <c r="T46" i="227"/>
  <c r="R46" i="227"/>
  <c r="P46" i="227"/>
  <c r="N46" i="227"/>
  <c r="L46" i="227"/>
  <c r="J46" i="227"/>
  <c r="H46" i="227"/>
  <c r="F46" i="227"/>
  <c r="D46" i="227"/>
  <c r="V45" i="227"/>
  <c r="T45" i="227"/>
  <c r="R45" i="227"/>
  <c r="P45" i="227"/>
  <c r="N45" i="227"/>
  <c r="L45" i="227"/>
  <c r="J45" i="227"/>
  <c r="H45" i="227"/>
  <c r="F45" i="227"/>
  <c r="D45" i="227"/>
  <c r="V44" i="227"/>
  <c r="T44" i="227"/>
  <c r="R44" i="227"/>
  <c r="P44" i="227"/>
  <c r="N44" i="227"/>
  <c r="L44" i="227"/>
  <c r="J44" i="227"/>
  <c r="H44" i="227"/>
  <c r="F44" i="227"/>
  <c r="D44" i="227"/>
  <c r="V43" i="227"/>
  <c r="T43" i="227"/>
  <c r="R43" i="227"/>
  <c r="P43" i="227"/>
  <c r="N43" i="227"/>
  <c r="L43" i="227"/>
  <c r="J43" i="227"/>
  <c r="H43" i="227"/>
  <c r="F43" i="227"/>
  <c r="D43" i="227"/>
  <c r="V42" i="227"/>
  <c r="T42" i="227"/>
  <c r="R42" i="227"/>
  <c r="P42" i="227"/>
  <c r="N42" i="227"/>
  <c r="L42" i="227"/>
  <c r="J42" i="227"/>
  <c r="H42" i="227"/>
  <c r="F42" i="227"/>
  <c r="D42" i="227"/>
  <c r="V41" i="227"/>
  <c r="T41" i="227"/>
  <c r="R41" i="227"/>
  <c r="P41" i="227"/>
  <c r="N41" i="227"/>
  <c r="L41" i="227"/>
  <c r="J41" i="227"/>
  <c r="H41" i="227"/>
  <c r="F41" i="227"/>
  <c r="D41" i="227"/>
  <c r="V40" i="227"/>
  <c r="T40" i="227"/>
  <c r="R40" i="227"/>
  <c r="P40" i="227"/>
  <c r="N40" i="227"/>
  <c r="L40" i="227"/>
  <c r="J40" i="227"/>
  <c r="H40" i="227"/>
  <c r="F40" i="227"/>
  <c r="D40" i="227"/>
  <c r="V39" i="227"/>
  <c r="T39" i="227"/>
  <c r="R39" i="227"/>
  <c r="P39" i="227"/>
  <c r="N39" i="227"/>
  <c r="L39" i="227"/>
  <c r="J39" i="227"/>
  <c r="H39" i="227"/>
  <c r="F39" i="227"/>
  <c r="D39" i="227"/>
  <c r="V38" i="227"/>
  <c r="T38" i="227"/>
  <c r="R38" i="227"/>
  <c r="P38" i="227"/>
  <c r="N38" i="227"/>
  <c r="L38" i="227"/>
  <c r="J38" i="227"/>
  <c r="H38" i="227"/>
  <c r="F38" i="227"/>
  <c r="D38" i="227"/>
  <c r="V37" i="227"/>
  <c r="T37" i="227"/>
  <c r="R37" i="227"/>
  <c r="P37" i="227"/>
  <c r="N37" i="227"/>
  <c r="L37" i="227"/>
  <c r="J37" i="227"/>
  <c r="H37" i="227"/>
  <c r="F37" i="227"/>
  <c r="D37" i="227"/>
  <c r="V36" i="227"/>
  <c r="T36" i="227"/>
  <c r="R36" i="227"/>
  <c r="P36" i="227"/>
  <c r="N36" i="227"/>
  <c r="L36" i="227"/>
  <c r="J36" i="227"/>
  <c r="H36" i="227"/>
  <c r="F36" i="227"/>
  <c r="D36" i="227"/>
  <c r="V35" i="227"/>
  <c r="T35" i="227"/>
  <c r="R35" i="227"/>
  <c r="P35" i="227"/>
  <c r="N35" i="227"/>
  <c r="L35" i="227"/>
  <c r="J35" i="227"/>
  <c r="H35" i="227"/>
  <c r="F35" i="227"/>
  <c r="D35" i="227"/>
  <c r="V34" i="227"/>
  <c r="T34" i="227"/>
  <c r="R34" i="227"/>
  <c r="P34" i="227"/>
  <c r="N34" i="227"/>
  <c r="L34" i="227"/>
  <c r="J34" i="227"/>
  <c r="H34" i="227"/>
  <c r="F34" i="227"/>
  <c r="D34" i="227"/>
  <c r="V33" i="227"/>
  <c r="T33" i="227"/>
  <c r="R33" i="227"/>
  <c r="P33" i="227"/>
  <c r="N33" i="227"/>
  <c r="L33" i="227"/>
  <c r="J33" i="227"/>
  <c r="H33" i="227"/>
  <c r="F33" i="227"/>
  <c r="D33" i="227"/>
  <c r="V32" i="227"/>
  <c r="T32" i="227"/>
  <c r="R32" i="227"/>
  <c r="P32" i="227"/>
  <c r="N32" i="227"/>
  <c r="L32" i="227"/>
  <c r="J32" i="227"/>
  <c r="H32" i="227"/>
  <c r="F32" i="227"/>
  <c r="D32" i="227"/>
  <c r="V31" i="227"/>
  <c r="T31" i="227"/>
  <c r="R31" i="227"/>
  <c r="P31" i="227"/>
  <c r="N31" i="227"/>
  <c r="L31" i="227"/>
  <c r="J31" i="227"/>
  <c r="H31" i="227"/>
  <c r="F31" i="227"/>
  <c r="D31" i="227"/>
  <c r="V30" i="227"/>
  <c r="T30" i="227"/>
  <c r="R30" i="227"/>
  <c r="P30" i="227"/>
  <c r="N30" i="227"/>
  <c r="L30" i="227"/>
  <c r="J30" i="227"/>
  <c r="H30" i="227"/>
  <c r="F30" i="227"/>
  <c r="D30" i="227"/>
  <c r="V29" i="227"/>
  <c r="T29" i="227"/>
  <c r="R29" i="227"/>
  <c r="P29" i="227"/>
  <c r="N29" i="227"/>
  <c r="L29" i="227"/>
  <c r="J29" i="227"/>
  <c r="H29" i="227"/>
  <c r="F29" i="227"/>
  <c r="D29" i="227"/>
  <c r="V28" i="227"/>
  <c r="T28" i="227"/>
  <c r="R28" i="227"/>
  <c r="P28" i="227"/>
  <c r="N28" i="227"/>
  <c r="L28" i="227"/>
  <c r="J28" i="227"/>
  <c r="H28" i="227"/>
  <c r="I13" i="227" s="1"/>
  <c r="F28" i="227"/>
  <c r="D28" i="227"/>
  <c r="V27" i="227"/>
  <c r="T27" i="227"/>
  <c r="K15" i="227" s="1"/>
  <c r="R27" i="227"/>
  <c r="P27" i="227"/>
  <c r="N27" i="227"/>
  <c r="L27" i="227"/>
  <c r="J27" i="227"/>
  <c r="H27" i="227"/>
  <c r="F27" i="227"/>
  <c r="D27" i="227"/>
  <c r="H16" i="227" s="1"/>
  <c r="A27" i="227"/>
  <c r="A28" i="227" s="1"/>
  <c r="A29" i="227" s="1"/>
  <c r="A30" i="227" s="1"/>
  <c r="A31" i="227" s="1"/>
  <c r="A32" i="227" s="1"/>
  <c r="A33" i="227" s="1"/>
  <c r="A34" i="227" s="1"/>
  <c r="A35" i="227" s="1"/>
  <c r="A36" i="227" s="1"/>
  <c r="A37" i="227" s="1"/>
  <c r="A38" i="227" s="1"/>
  <c r="A39" i="227" s="1"/>
  <c r="A40" i="227" s="1"/>
  <c r="A41" i="227" s="1"/>
  <c r="A42" i="227" s="1"/>
  <c r="A43" i="227" s="1"/>
  <c r="A44" i="227" s="1"/>
  <c r="A45" i="227" s="1"/>
  <c r="A46" i="227" s="1"/>
  <c r="A47" i="227" s="1"/>
  <c r="A48" i="227" s="1"/>
  <c r="A49" i="227" s="1"/>
  <c r="A50" i="227" s="1"/>
  <c r="A51" i="227" s="1"/>
  <c r="A52" i="227" s="1"/>
  <c r="A53" i="227" s="1"/>
  <c r="A54" i="227" s="1"/>
  <c r="A55" i="227" s="1"/>
  <c r="A56" i="227" s="1"/>
  <c r="V26" i="227"/>
  <c r="T26" i="227"/>
  <c r="R26" i="227"/>
  <c r="P26" i="227"/>
  <c r="J14" i="227" s="1"/>
  <c r="N26" i="227"/>
  <c r="L26" i="227"/>
  <c r="J26" i="227"/>
  <c r="F26" i="227"/>
  <c r="D26" i="227"/>
  <c r="H4" i="227" s="1"/>
  <c r="G18" i="227"/>
  <c r="G17" i="227"/>
  <c r="G16" i="227"/>
  <c r="G15" i="227"/>
  <c r="G14" i="227"/>
  <c r="G13" i="227"/>
  <c r="H12" i="227"/>
  <c r="G12" i="227"/>
  <c r="G11" i="227"/>
  <c r="G10" i="227"/>
  <c r="I9" i="227"/>
  <c r="G9" i="227"/>
  <c r="G8" i="227"/>
  <c r="G7" i="227"/>
  <c r="G6" i="227"/>
  <c r="G5" i="227"/>
  <c r="G4" i="227"/>
  <c r="G3" i="227"/>
  <c r="K11" i="227" l="1"/>
  <c r="I18" i="227"/>
  <c r="I5" i="227"/>
  <c r="H8" i="227"/>
  <c r="K7" i="227"/>
  <c r="K16" i="227"/>
  <c r="K3" i="227"/>
  <c r="J15" i="227"/>
  <c r="J6" i="227"/>
  <c r="J10" i="227"/>
  <c r="J18" i="227"/>
  <c r="J17" i="227"/>
  <c r="I17" i="227"/>
  <c r="H13" i="227"/>
  <c r="I4" i="227"/>
  <c r="J5" i="227"/>
  <c r="K6" i="227"/>
  <c r="H7" i="227"/>
  <c r="I8" i="227"/>
  <c r="J9" i="227"/>
  <c r="K10" i="227"/>
  <c r="H11" i="227"/>
  <c r="I12" i="227"/>
  <c r="J13" i="227"/>
  <c r="K14" i="227"/>
  <c r="H15" i="227"/>
  <c r="I16" i="227"/>
  <c r="H3" i="227"/>
  <c r="I3" i="227"/>
  <c r="J4" i="227"/>
  <c r="K5" i="227"/>
  <c r="H6" i="227"/>
  <c r="I7" i="227"/>
  <c r="J8" i="227"/>
  <c r="K9" i="227"/>
  <c r="H10" i="227"/>
  <c r="I11" i="227"/>
  <c r="J12" i="227"/>
  <c r="K13" i="227"/>
  <c r="H14" i="227"/>
  <c r="I15" i="227"/>
  <c r="J16" i="227"/>
  <c r="J3" i="227"/>
  <c r="K4" i="227"/>
  <c r="H5" i="227"/>
  <c r="I6" i="227"/>
  <c r="J7" i="227"/>
  <c r="K8" i="227"/>
  <c r="H9" i="227"/>
  <c r="I10" i="227"/>
  <c r="J11" i="227"/>
  <c r="K12" i="227"/>
  <c r="I14" i="227"/>
  <c r="D26" i="226"/>
  <c r="F26" i="226"/>
  <c r="H26" i="226"/>
  <c r="J26" i="226"/>
  <c r="L26" i="226"/>
  <c r="N26" i="226"/>
  <c r="P26" i="226"/>
  <c r="R26" i="226"/>
  <c r="T26" i="226"/>
  <c r="V26" i="226"/>
  <c r="D27" i="226"/>
  <c r="F27" i="226"/>
  <c r="H27" i="226"/>
  <c r="J27" i="226"/>
  <c r="L27" i="226"/>
  <c r="N27" i="226"/>
  <c r="P27" i="226"/>
  <c r="R27" i="226"/>
  <c r="T27" i="226"/>
  <c r="V27" i="226"/>
  <c r="D28" i="226"/>
  <c r="F28" i="226"/>
  <c r="H28" i="226"/>
  <c r="J28" i="226"/>
  <c r="L28" i="226"/>
  <c r="N28" i="226"/>
  <c r="P28" i="226"/>
  <c r="R28" i="226"/>
  <c r="T28" i="226"/>
  <c r="V28" i="226"/>
  <c r="L18" i="227" l="1"/>
  <c r="M18" i="227" s="1"/>
  <c r="L17" i="227"/>
  <c r="M17" i="227" s="1"/>
  <c r="L9" i="227"/>
  <c r="M9" i="227" s="1"/>
  <c r="L5" i="227"/>
  <c r="M5" i="227" s="1"/>
  <c r="L16" i="227"/>
  <c r="M16" i="227" s="1"/>
  <c r="L8" i="227"/>
  <c r="M8" i="227" s="1"/>
  <c r="L4" i="227"/>
  <c r="M4" i="227" s="1"/>
  <c r="L12" i="227"/>
  <c r="M12" i="227" s="1"/>
  <c r="L13" i="227"/>
  <c r="M13" i="227" s="1"/>
  <c r="L14" i="227"/>
  <c r="M14" i="227" s="1"/>
  <c r="L10" i="227"/>
  <c r="M10" i="227" s="1"/>
  <c r="L6" i="227"/>
  <c r="M6" i="227" s="1"/>
  <c r="L3" i="227"/>
  <c r="M3" i="227" s="1"/>
  <c r="L15" i="227"/>
  <c r="M15" i="227" s="1"/>
  <c r="L11" i="227"/>
  <c r="M11" i="227" s="1"/>
  <c r="L7" i="227"/>
  <c r="M7" i="227" s="1"/>
  <c r="F29" i="226"/>
  <c r="F30" i="226"/>
  <c r="F31" i="226"/>
  <c r="F32" i="226"/>
  <c r="F33" i="226"/>
  <c r="F34" i="226"/>
  <c r="F35" i="226"/>
  <c r="F36" i="226"/>
  <c r="F37" i="226"/>
  <c r="F38" i="226"/>
  <c r="F39" i="226"/>
  <c r="F40" i="226"/>
  <c r="F41" i="226"/>
  <c r="F42" i="226"/>
  <c r="F43" i="226"/>
  <c r="F44" i="226"/>
  <c r="F45" i="226"/>
  <c r="F46" i="226"/>
  <c r="F47" i="226"/>
  <c r="F48" i="226"/>
  <c r="F49" i="226"/>
  <c r="F50" i="226"/>
  <c r="F51" i="226"/>
  <c r="F52" i="226"/>
  <c r="F53" i="226"/>
  <c r="F54" i="226"/>
  <c r="F55" i="226"/>
  <c r="F56" i="226"/>
  <c r="V56" i="226" l="1"/>
  <c r="T56" i="226"/>
  <c r="U41" i="225" s="1"/>
  <c r="R56" i="226"/>
  <c r="P56" i="226"/>
  <c r="N56" i="226"/>
  <c r="L56" i="226"/>
  <c r="J56" i="226"/>
  <c r="H56" i="226"/>
  <c r="V55" i="226"/>
  <c r="T55" i="226"/>
  <c r="R55" i="226"/>
  <c r="P55" i="226"/>
  <c r="N55" i="226"/>
  <c r="R12" i="225" s="1"/>
  <c r="L55" i="226"/>
  <c r="J55" i="226"/>
  <c r="H55" i="226"/>
  <c r="N12" i="225"/>
  <c r="D55" i="226"/>
  <c r="V54" i="226"/>
  <c r="T54" i="226"/>
  <c r="R54" i="226"/>
  <c r="P54" i="226"/>
  <c r="N54" i="226"/>
  <c r="L54" i="226"/>
  <c r="J54" i="226"/>
  <c r="H54" i="226"/>
  <c r="D54" i="226"/>
  <c r="V53" i="226"/>
  <c r="T53" i="226"/>
  <c r="R53" i="226"/>
  <c r="P53" i="226"/>
  <c r="N53" i="226"/>
  <c r="L53" i="226"/>
  <c r="J53" i="226"/>
  <c r="H53" i="226"/>
  <c r="D53" i="226"/>
  <c r="V52" i="226"/>
  <c r="T52" i="226"/>
  <c r="R52" i="226"/>
  <c r="P52" i="226"/>
  <c r="N52" i="226"/>
  <c r="L52" i="226"/>
  <c r="J52" i="226"/>
  <c r="H52" i="226"/>
  <c r="D52" i="226"/>
  <c r="V51" i="226"/>
  <c r="T51" i="226"/>
  <c r="R51" i="226"/>
  <c r="P51" i="226"/>
  <c r="N51" i="226"/>
  <c r="L51" i="226"/>
  <c r="J51" i="226"/>
  <c r="H51" i="226"/>
  <c r="D51" i="226"/>
  <c r="V50" i="226"/>
  <c r="T50" i="226"/>
  <c r="R50" i="226"/>
  <c r="P50" i="226"/>
  <c r="N50" i="226"/>
  <c r="L50" i="226"/>
  <c r="J50" i="226"/>
  <c r="H50" i="226"/>
  <c r="D50" i="226"/>
  <c r="V49" i="226"/>
  <c r="T49" i="226"/>
  <c r="R49" i="226"/>
  <c r="P49" i="226"/>
  <c r="N49" i="226"/>
  <c r="L49" i="226"/>
  <c r="J49" i="226"/>
  <c r="H49" i="226"/>
  <c r="D49" i="226"/>
  <c r="V48" i="226"/>
  <c r="T48" i="226"/>
  <c r="R48" i="226"/>
  <c r="P48" i="226"/>
  <c r="N48" i="226"/>
  <c r="L48" i="226"/>
  <c r="J48" i="226"/>
  <c r="H48" i="226"/>
  <c r="D48" i="226"/>
  <c r="V47" i="226"/>
  <c r="T47" i="226"/>
  <c r="R47" i="226"/>
  <c r="P47" i="226"/>
  <c r="N47" i="226"/>
  <c r="L47" i="226"/>
  <c r="J47" i="226"/>
  <c r="H47" i="226"/>
  <c r="D47" i="226"/>
  <c r="V46" i="226"/>
  <c r="T46" i="226"/>
  <c r="R46" i="226"/>
  <c r="P46" i="226"/>
  <c r="N46" i="226"/>
  <c r="L46" i="226"/>
  <c r="J46" i="226"/>
  <c r="H46" i="226"/>
  <c r="D46" i="226"/>
  <c r="V45" i="226"/>
  <c r="T45" i="226"/>
  <c r="R45" i="226"/>
  <c r="P45" i="226"/>
  <c r="N45" i="226"/>
  <c r="L45" i="226"/>
  <c r="J45" i="226"/>
  <c r="H45" i="226"/>
  <c r="D45" i="226"/>
  <c r="V44" i="226"/>
  <c r="T44" i="226"/>
  <c r="R44" i="226"/>
  <c r="P44" i="226"/>
  <c r="N44" i="226"/>
  <c r="L44" i="226"/>
  <c r="J44" i="226"/>
  <c r="H44" i="226"/>
  <c r="D44" i="226"/>
  <c r="V43" i="226"/>
  <c r="T43" i="226"/>
  <c r="R43" i="226"/>
  <c r="P43" i="226"/>
  <c r="N43" i="226"/>
  <c r="L43" i="226"/>
  <c r="J43" i="226"/>
  <c r="H43" i="226"/>
  <c r="D43" i="226"/>
  <c r="V42" i="226"/>
  <c r="T42" i="226"/>
  <c r="R42" i="226"/>
  <c r="P42" i="226"/>
  <c r="S27" i="225" s="1"/>
  <c r="N42" i="226"/>
  <c r="L42" i="226"/>
  <c r="J42" i="226"/>
  <c r="H42" i="226"/>
  <c r="O27" i="225" s="1"/>
  <c r="D42" i="226"/>
  <c r="V41" i="226"/>
  <c r="T41" i="226"/>
  <c r="U26" i="225" s="1"/>
  <c r="R41" i="226"/>
  <c r="P41" i="226"/>
  <c r="N41" i="226"/>
  <c r="L41" i="226"/>
  <c r="Q26" i="225" s="1"/>
  <c r="J41" i="226"/>
  <c r="H41" i="226"/>
  <c r="D41" i="226"/>
  <c r="M26" i="225" s="1"/>
  <c r="V40" i="226"/>
  <c r="T40" i="226"/>
  <c r="R40" i="226"/>
  <c r="T25" i="225" s="1"/>
  <c r="P40" i="226"/>
  <c r="N40" i="226"/>
  <c r="L40" i="226"/>
  <c r="J40" i="226"/>
  <c r="H40" i="226"/>
  <c r="O25" i="225" s="1"/>
  <c r="D40" i="226"/>
  <c r="V39" i="226"/>
  <c r="T39" i="226"/>
  <c r="U24" i="225" s="1"/>
  <c r="R39" i="226"/>
  <c r="P39" i="226"/>
  <c r="N39" i="226"/>
  <c r="L39" i="226"/>
  <c r="Q24" i="225" s="1"/>
  <c r="J39" i="226"/>
  <c r="H39" i="226"/>
  <c r="D39" i="226"/>
  <c r="M24" i="225" s="1"/>
  <c r="V38" i="226"/>
  <c r="T38" i="226"/>
  <c r="R38" i="226"/>
  <c r="P38" i="226"/>
  <c r="N38" i="226"/>
  <c r="R23" i="225" s="1"/>
  <c r="L38" i="226"/>
  <c r="J38" i="226"/>
  <c r="P23" i="225" s="1"/>
  <c r="H38" i="226"/>
  <c r="O23" i="225" s="1"/>
  <c r="D38" i="226"/>
  <c r="M23" i="225" s="1"/>
  <c r="V37" i="226"/>
  <c r="T37" i="226"/>
  <c r="U22" i="225" s="1"/>
  <c r="R37" i="226"/>
  <c r="P37" i="226"/>
  <c r="N37" i="226"/>
  <c r="L37" i="226"/>
  <c r="J37" i="226"/>
  <c r="H37" i="226"/>
  <c r="D37" i="226"/>
  <c r="M22" i="225" s="1"/>
  <c r="V36" i="226"/>
  <c r="T36" i="226"/>
  <c r="U21" i="225" s="1"/>
  <c r="R36" i="226"/>
  <c r="P36" i="226"/>
  <c r="S21" i="225" s="1"/>
  <c r="N36" i="226"/>
  <c r="L36" i="226"/>
  <c r="Q21" i="225" s="1"/>
  <c r="J36" i="226"/>
  <c r="P21" i="225" s="1"/>
  <c r="H36" i="226"/>
  <c r="O21" i="225" s="1"/>
  <c r="D36" i="226"/>
  <c r="V35" i="226"/>
  <c r="T35" i="226"/>
  <c r="U20" i="225" s="1"/>
  <c r="R35" i="226"/>
  <c r="P35" i="226"/>
  <c r="N35" i="226"/>
  <c r="L35" i="226"/>
  <c r="Q20" i="225" s="1"/>
  <c r="J35" i="226"/>
  <c r="H35" i="226"/>
  <c r="D35" i="226"/>
  <c r="M20" i="225" s="1"/>
  <c r="V34" i="226"/>
  <c r="T34" i="226"/>
  <c r="R34" i="226"/>
  <c r="P34" i="226"/>
  <c r="S19" i="225" s="1"/>
  <c r="N34" i="226"/>
  <c r="L34" i="226"/>
  <c r="J34" i="226"/>
  <c r="H34" i="226"/>
  <c r="O19" i="225" s="1"/>
  <c r="D34" i="226"/>
  <c r="M19" i="225" s="1"/>
  <c r="V33" i="226"/>
  <c r="T33" i="226"/>
  <c r="U18" i="225" s="1"/>
  <c r="R33" i="226"/>
  <c r="P33" i="226"/>
  <c r="N33" i="226"/>
  <c r="L33" i="226"/>
  <c r="Q18" i="225" s="1"/>
  <c r="J33" i="226"/>
  <c r="H33" i="226"/>
  <c r="D33" i="226"/>
  <c r="M18" i="225" s="1"/>
  <c r="V32" i="226"/>
  <c r="T32" i="226"/>
  <c r="R32" i="226"/>
  <c r="P32" i="226"/>
  <c r="S17" i="225" s="1"/>
  <c r="N32" i="226"/>
  <c r="L32" i="226"/>
  <c r="J32" i="226"/>
  <c r="H32" i="226"/>
  <c r="O17" i="225" s="1"/>
  <c r="D32" i="226"/>
  <c r="V31" i="226"/>
  <c r="T31" i="226"/>
  <c r="U16" i="225" s="1"/>
  <c r="R31" i="226"/>
  <c r="P31" i="226"/>
  <c r="N31" i="226"/>
  <c r="L31" i="226"/>
  <c r="Q16" i="225" s="1"/>
  <c r="J31" i="226"/>
  <c r="H31" i="226"/>
  <c r="D31" i="226"/>
  <c r="M16" i="225" s="1"/>
  <c r="V30" i="226"/>
  <c r="T30" i="226"/>
  <c r="R30" i="226"/>
  <c r="P30" i="226"/>
  <c r="N30" i="226"/>
  <c r="R15" i="225" s="1"/>
  <c r="L30" i="226"/>
  <c r="J30" i="226"/>
  <c r="H30" i="226"/>
  <c r="O15" i="225" s="1"/>
  <c r="D30" i="226"/>
  <c r="M15" i="225" s="1"/>
  <c r="V29" i="226"/>
  <c r="T29" i="226"/>
  <c r="U14" i="225" s="1"/>
  <c r="R29" i="226"/>
  <c r="P29" i="226"/>
  <c r="N29" i="226"/>
  <c r="L29" i="226"/>
  <c r="J29" i="226"/>
  <c r="H29" i="226"/>
  <c r="D29" i="226"/>
  <c r="M14" i="225" s="1"/>
  <c r="T13" i="225"/>
  <c r="P13" i="225"/>
  <c r="M13" i="225"/>
  <c r="Q12" i="225"/>
  <c r="M12" i="225"/>
  <c r="A27" i="226"/>
  <c r="A28" i="226" s="1"/>
  <c r="A29" i="226" s="1"/>
  <c r="A30" i="226" s="1"/>
  <c r="A31" i="226" s="1"/>
  <c r="A32" i="226" s="1"/>
  <c r="A33" i="226" s="1"/>
  <c r="A34" i="226" s="1"/>
  <c r="A35" i="226" s="1"/>
  <c r="A36" i="226" s="1"/>
  <c r="A37" i="226" s="1"/>
  <c r="A38" i="226" s="1"/>
  <c r="A39" i="226" s="1"/>
  <c r="A40" i="226" s="1"/>
  <c r="A41" i="226" s="1"/>
  <c r="A42" i="226" s="1"/>
  <c r="A43" i="226" s="1"/>
  <c r="T11" i="225"/>
  <c r="P11" i="225"/>
  <c r="M11" i="225"/>
  <c r="G18" i="226"/>
  <c r="G17" i="226"/>
  <c r="G16" i="226"/>
  <c r="G15" i="226"/>
  <c r="G14" i="226"/>
  <c r="G13" i="226"/>
  <c r="G12" i="226"/>
  <c r="G11" i="226"/>
  <c r="G10" i="226"/>
  <c r="G9" i="226"/>
  <c r="G8" i="226"/>
  <c r="Y16" i="225" s="1"/>
  <c r="G7" i="226"/>
  <c r="Y15" i="225" s="1"/>
  <c r="G6" i="226"/>
  <c r="G5" i="226"/>
  <c r="G4" i="226"/>
  <c r="Y12" i="225" s="1"/>
  <c r="G3" i="226"/>
  <c r="K41" i="225"/>
  <c r="L41" i="225" s="1"/>
  <c r="K40" i="225"/>
  <c r="L40" i="225" s="1"/>
  <c r="K39" i="225"/>
  <c r="L39" i="225" s="1"/>
  <c r="K38" i="225"/>
  <c r="L38" i="225" s="1"/>
  <c r="K37" i="225"/>
  <c r="L37" i="225" s="1"/>
  <c r="K36" i="225"/>
  <c r="L36" i="225" s="1"/>
  <c r="K35" i="225"/>
  <c r="L35" i="225" s="1"/>
  <c r="K34" i="225"/>
  <c r="L34" i="225" s="1"/>
  <c r="K33" i="225"/>
  <c r="L33" i="225" s="1"/>
  <c r="K32" i="225"/>
  <c r="L32" i="225" s="1"/>
  <c r="X31" i="225" a="1"/>
  <c r="X31" i="225" s="1"/>
  <c r="K31" i="225"/>
  <c r="L31" i="225" s="1"/>
  <c r="X30" i="225" a="1"/>
  <c r="X30" i="225" s="1"/>
  <c r="K30" i="225"/>
  <c r="L30" i="225" s="1"/>
  <c r="K29" i="225"/>
  <c r="L29" i="225" s="1"/>
  <c r="K28" i="225"/>
  <c r="L28" i="225" s="1"/>
  <c r="V27" i="225"/>
  <c r="R27" i="225"/>
  <c r="N27" i="225"/>
  <c r="K27" i="225"/>
  <c r="L27" i="225" s="1"/>
  <c r="AC26" i="225"/>
  <c r="Y26" i="225"/>
  <c r="V26" i="225"/>
  <c r="T26" i="225"/>
  <c r="R26" i="225"/>
  <c r="N26" i="225"/>
  <c r="K26" i="225"/>
  <c r="L26" i="225" s="1"/>
  <c r="AC25" i="225"/>
  <c r="Y25" i="225"/>
  <c r="V25" i="225"/>
  <c r="S25" i="225"/>
  <c r="R25" i="225"/>
  <c r="N25" i="225"/>
  <c r="L25" i="225"/>
  <c r="K25" i="225"/>
  <c r="Y24" i="225"/>
  <c r="V24" i="225"/>
  <c r="T24" i="225"/>
  <c r="R24" i="225"/>
  <c r="N24" i="225"/>
  <c r="K24" i="225"/>
  <c r="L24" i="225" s="1"/>
  <c r="Y23" i="225"/>
  <c r="V23" i="225"/>
  <c r="U23" i="225"/>
  <c r="Q23" i="225"/>
  <c r="N23" i="225"/>
  <c r="L23" i="225"/>
  <c r="K23" i="225"/>
  <c r="Y22" i="225"/>
  <c r="V22" i="225"/>
  <c r="T22" i="225"/>
  <c r="R22" i="225"/>
  <c r="Q22" i="225"/>
  <c r="P22" i="225"/>
  <c r="N22" i="225"/>
  <c r="K22" i="225"/>
  <c r="L22" i="225" s="1"/>
  <c r="Y21" i="225"/>
  <c r="V21" i="225"/>
  <c r="R21" i="225"/>
  <c r="N21" i="225"/>
  <c r="M21" i="225"/>
  <c r="K21" i="225"/>
  <c r="L21" i="225" s="1"/>
  <c r="Y20" i="225"/>
  <c r="V20" i="225"/>
  <c r="R20" i="225"/>
  <c r="P20" i="225"/>
  <c r="N20" i="225"/>
  <c r="K20" i="225"/>
  <c r="L20" i="225" s="1"/>
  <c r="Y19" i="225"/>
  <c r="V19" i="225"/>
  <c r="U19" i="225"/>
  <c r="T19" i="225"/>
  <c r="R19" i="225"/>
  <c r="Q19" i="225"/>
  <c r="N19" i="225"/>
  <c r="K19" i="225"/>
  <c r="L19" i="225" s="1"/>
  <c r="Y18" i="225"/>
  <c r="V18" i="225"/>
  <c r="T18" i="225"/>
  <c r="R18" i="225"/>
  <c r="P18" i="225"/>
  <c r="N18" i="225"/>
  <c r="K18" i="225"/>
  <c r="L18" i="225" s="1"/>
  <c r="Y17" i="225"/>
  <c r="V17" i="225"/>
  <c r="U17" i="225"/>
  <c r="R17" i="225"/>
  <c r="Q17" i="225"/>
  <c r="N17" i="225"/>
  <c r="M17" i="225"/>
  <c r="K17" i="225"/>
  <c r="L17" i="225" s="1"/>
  <c r="V16" i="225"/>
  <c r="T16" i="225"/>
  <c r="R16" i="225"/>
  <c r="P16" i="225"/>
  <c r="N16" i="225"/>
  <c r="K16" i="225"/>
  <c r="L16" i="225" s="1"/>
  <c r="V15" i="225"/>
  <c r="U15" i="225"/>
  <c r="Q15" i="225"/>
  <c r="N15" i="225"/>
  <c r="K15" i="225"/>
  <c r="L15" i="225" s="1"/>
  <c r="Y14" i="225"/>
  <c r="V14" i="225"/>
  <c r="T14" i="225"/>
  <c r="R14" i="225"/>
  <c r="Q14" i="225"/>
  <c r="N14" i="225"/>
  <c r="K14" i="225"/>
  <c r="L14" i="225" s="1"/>
  <c r="Y13" i="225"/>
  <c r="V13" i="225"/>
  <c r="U13" i="225"/>
  <c r="R13" i="225"/>
  <c r="Q13" i="225"/>
  <c r="N13" i="225"/>
  <c r="K13" i="225"/>
  <c r="L13" i="225" s="1"/>
  <c r="T12" i="225"/>
  <c r="S12" i="225"/>
  <c r="P12" i="225"/>
  <c r="O12" i="225"/>
  <c r="K12" i="225"/>
  <c r="L12" i="225" s="1"/>
  <c r="Y11" i="225"/>
  <c r="V11" i="225"/>
  <c r="R11" i="225"/>
  <c r="Q11" i="225"/>
  <c r="N11" i="225"/>
  <c r="K11" i="225"/>
  <c r="L11" i="225" s="1"/>
  <c r="A28" i="219"/>
  <c r="A29" i="219"/>
  <c r="A30" i="219"/>
  <c r="A31" i="219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27" i="219"/>
  <c r="K41" i="220"/>
  <c r="L41" i="220" s="1"/>
  <c r="K40" i="220"/>
  <c r="L40" i="220" s="1"/>
  <c r="K39" i="220"/>
  <c r="L39" i="220" s="1"/>
  <c r="K38" i="220"/>
  <c r="L38" i="220" s="1"/>
  <c r="K37" i="220"/>
  <c r="L37" i="220" s="1"/>
  <c r="K36" i="220"/>
  <c r="L36" i="220" s="1"/>
  <c r="K35" i="220"/>
  <c r="L35" i="220" s="1"/>
  <c r="K34" i="220"/>
  <c r="L34" i="220" s="1"/>
  <c r="K33" i="220"/>
  <c r="L33" i="220" s="1"/>
  <c r="K32" i="220"/>
  <c r="L32" i="220" s="1"/>
  <c r="X31" i="220" a="1"/>
  <c r="X31" i="220" s="1"/>
  <c r="K31" i="220"/>
  <c r="L31" i="220" s="1"/>
  <c r="X30" i="220" a="1"/>
  <c r="X30" i="220" s="1"/>
  <c r="K30" i="220"/>
  <c r="L30" i="220" s="1"/>
  <c r="K29" i="220"/>
  <c r="L29" i="220" s="1"/>
  <c r="L28" i="220"/>
  <c r="K28" i="220"/>
  <c r="K27" i="220"/>
  <c r="L27" i="220" s="1"/>
  <c r="AC26" i="220"/>
  <c r="K26" i="220"/>
  <c r="L26" i="220" s="1"/>
  <c r="AC25" i="220"/>
  <c r="K25" i="220"/>
  <c r="L25" i="220" s="1"/>
  <c r="K24" i="220"/>
  <c r="L24" i="220" s="1"/>
  <c r="K23" i="220"/>
  <c r="L23" i="220" s="1"/>
  <c r="K22" i="220"/>
  <c r="L22" i="220" s="1"/>
  <c r="K21" i="220"/>
  <c r="L21" i="220" s="1"/>
  <c r="K20" i="220"/>
  <c r="L20" i="220" s="1"/>
  <c r="K19" i="220"/>
  <c r="L19" i="220" s="1"/>
  <c r="K18" i="220"/>
  <c r="L18" i="220" s="1"/>
  <c r="K17" i="220"/>
  <c r="L17" i="220" s="1"/>
  <c r="K16" i="220"/>
  <c r="L16" i="220" s="1"/>
  <c r="K15" i="220"/>
  <c r="L15" i="220" s="1"/>
  <c r="K14" i="220"/>
  <c r="L14" i="220" s="1"/>
  <c r="K13" i="220"/>
  <c r="L13" i="220" s="1"/>
  <c r="K12" i="220"/>
  <c r="L12" i="220" s="1"/>
  <c r="K11" i="220"/>
  <c r="L11" i="220" s="1"/>
  <c r="V56" i="219"/>
  <c r="T56" i="219"/>
  <c r="R56" i="219"/>
  <c r="P56" i="219"/>
  <c r="N56" i="219"/>
  <c r="L56" i="219"/>
  <c r="J56" i="219"/>
  <c r="H56" i="219"/>
  <c r="F56" i="219"/>
  <c r="D56" i="219"/>
  <c r="V55" i="219"/>
  <c r="T55" i="219"/>
  <c r="R55" i="219"/>
  <c r="P55" i="219"/>
  <c r="N55" i="219"/>
  <c r="L55" i="219"/>
  <c r="J55" i="219"/>
  <c r="H55" i="219"/>
  <c r="F55" i="219"/>
  <c r="D55" i="219"/>
  <c r="V54" i="219"/>
  <c r="T54" i="219"/>
  <c r="R54" i="219"/>
  <c r="P54" i="219"/>
  <c r="N54" i="219"/>
  <c r="L54" i="219"/>
  <c r="J54" i="219"/>
  <c r="H54" i="219"/>
  <c r="F54" i="219"/>
  <c r="D54" i="219"/>
  <c r="V53" i="219"/>
  <c r="T53" i="219"/>
  <c r="U38" i="220" s="1"/>
  <c r="R53" i="219"/>
  <c r="P53" i="219"/>
  <c r="N53" i="219"/>
  <c r="L53" i="219"/>
  <c r="J53" i="219"/>
  <c r="H53" i="219"/>
  <c r="F53" i="219"/>
  <c r="D53" i="219"/>
  <c r="V52" i="219"/>
  <c r="T52" i="219"/>
  <c r="R52" i="219"/>
  <c r="P52" i="219"/>
  <c r="N52" i="219"/>
  <c r="L52" i="219"/>
  <c r="J52" i="219"/>
  <c r="H52" i="219"/>
  <c r="F52" i="219"/>
  <c r="D52" i="219"/>
  <c r="V51" i="219"/>
  <c r="T51" i="219"/>
  <c r="R51" i="219"/>
  <c r="P51" i="219"/>
  <c r="N51" i="219"/>
  <c r="L51" i="219"/>
  <c r="J51" i="219"/>
  <c r="H51" i="219"/>
  <c r="F51" i="219"/>
  <c r="D51" i="219"/>
  <c r="V50" i="219"/>
  <c r="T50" i="219"/>
  <c r="R50" i="219"/>
  <c r="P50" i="219"/>
  <c r="N50" i="219"/>
  <c r="L50" i="219"/>
  <c r="J50" i="219"/>
  <c r="H50" i="219"/>
  <c r="F50" i="219"/>
  <c r="D50" i="219"/>
  <c r="V49" i="219"/>
  <c r="T49" i="219"/>
  <c r="R49" i="219"/>
  <c r="P49" i="219"/>
  <c r="N49" i="219"/>
  <c r="L49" i="219"/>
  <c r="J49" i="219"/>
  <c r="H49" i="219"/>
  <c r="F49" i="219"/>
  <c r="D49" i="219"/>
  <c r="V48" i="219"/>
  <c r="T48" i="219"/>
  <c r="R48" i="219"/>
  <c r="P48" i="219"/>
  <c r="N48" i="219"/>
  <c r="L48" i="219"/>
  <c r="J48" i="219"/>
  <c r="H48" i="219"/>
  <c r="F48" i="219"/>
  <c r="D48" i="219"/>
  <c r="V47" i="219"/>
  <c r="T47" i="219"/>
  <c r="R47" i="219"/>
  <c r="P47" i="219"/>
  <c r="N47" i="219"/>
  <c r="L47" i="219"/>
  <c r="J47" i="219"/>
  <c r="H47" i="219"/>
  <c r="F47" i="219"/>
  <c r="D47" i="219"/>
  <c r="V46" i="219"/>
  <c r="T46" i="219"/>
  <c r="R46" i="219"/>
  <c r="P46" i="219"/>
  <c r="N46" i="219"/>
  <c r="L46" i="219"/>
  <c r="J46" i="219"/>
  <c r="H46" i="219"/>
  <c r="F46" i="219"/>
  <c r="D46" i="219"/>
  <c r="V45" i="219"/>
  <c r="T45" i="219"/>
  <c r="R45" i="219"/>
  <c r="P45" i="219"/>
  <c r="N45" i="219"/>
  <c r="L45" i="219"/>
  <c r="J45" i="219"/>
  <c r="H45" i="219"/>
  <c r="F45" i="219"/>
  <c r="D45" i="219"/>
  <c r="V44" i="219"/>
  <c r="T44" i="219"/>
  <c r="R44" i="219"/>
  <c r="P44" i="219"/>
  <c r="N44" i="219"/>
  <c r="L44" i="219"/>
  <c r="J44" i="219"/>
  <c r="H44" i="219"/>
  <c r="F44" i="219"/>
  <c r="D44" i="219"/>
  <c r="V43" i="219"/>
  <c r="T43" i="219"/>
  <c r="R43" i="219"/>
  <c r="P43" i="219"/>
  <c r="N43" i="219"/>
  <c r="L43" i="219"/>
  <c r="J43" i="219"/>
  <c r="H43" i="219"/>
  <c r="F43" i="219"/>
  <c r="D43" i="219"/>
  <c r="V42" i="219"/>
  <c r="T42" i="219"/>
  <c r="R42" i="219"/>
  <c r="P42" i="219"/>
  <c r="N42" i="219"/>
  <c r="L42" i="219"/>
  <c r="J42" i="219"/>
  <c r="H42" i="219"/>
  <c r="F42" i="219"/>
  <c r="D42" i="219"/>
  <c r="V41" i="219"/>
  <c r="T41" i="219"/>
  <c r="R41" i="219"/>
  <c r="P41" i="219"/>
  <c r="N41" i="219"/>
  <c r="L41" i="219"/>
  <c r="J41" i="219"/>
  <c r="H41" i="219"/>
  <c r="F41" i="219"/>
  <c r="D41" i="219"/>
  <c r="V40" i="219"/>
  <c r="T40" i="219"/>
  <c r="R40" i="219"/>
  <c r="P40" i="219"/>
  <c r="N40" i="219"/>
  <c r="L40" i="219"/>
  <c r="J40" i="219"/>
  <c r="H40" i="219"/>
  <c r="F40" i="219"/>
  <c r="D40" i="219"/>
  <c r="V39" i="219"/>
  <c r="T39" i="219"/>
  <c r="R39" i="219"/>
  <c r="P39" i="219"/>
  <c r="N39" i="219"/>
  <c r="L39" i="219"/>
  <c r="J39" i="219"/>
  <c r="H39" i="219"/>
  <c r="F39" i="219"/>
  <c r="D39" i="219"/>
  <c r="V38" i="219"/>
  <c r="T38" i="219"/>
  <c r="R38" i="219"/>
  <c r="P38" i="219"/>
  <c r="N38" i="219"/>
  <c r="L38" i="219"/>
  <c r="J38" i="219"/>
  <c r="H38" i="219"/>
  <c r="F38" i="219"/>
  <c r="D38" i="219"/>
  <c r="V37" i="219"/>
  <c r="T37" i="219"/>
  <c r="R37" i="219"/>
  <c r="P37" i="219"/>
  <c r="N37" i="219"/>
  <c r="L37" i="219"/>
  <c r="J37" i="219"/>
  <c r="H37" i="219"/>
  <c r="F37" i="219"/>
  <c r="D37" i="219"/>
  <c r="V36" i="219"/>
  <c r="T36" i="219"/>
  <c r="R36" i="219"/>
  <c r="P36" i="219"/>
  <c r="N36" i="219"/>
  <c r="L36" i="219"/>
  <c r="J36" i="219"/>
  <c r="H36" i="219"/>
  <c r="F36" i="219"/>
  <c r="D36" i="219"/>
  <c r="V35" i="219"/>
  <c r="T35" i="219"/>
  <c r="R35" i="219"/>
  <c r="P35" i="219"/>
  <c r="N35" i="219"/>
  <c r="L35" i="219"/>
  <c r="J35" i="219"/>
  <c r="H35" i="219"/>
  <c r="F35" i="219"/>
  <c r="D35" i="219"/>
  <c r="V34" i="219"/>
  <c r="T34" i="219"/>
  <c r="R34" i="219"/>
  <c r="P34" i="219"/>
  <c r="N34" i="219"/>
  <c r="L34" i="219"/>
  <c r="J34" i="219"/>
  <c r="H34" i="219"/>
  <c r="F34" i="219"/>
  <c r="D34" i="219"/>
  <c r="V33" i="219"/>
  <c r="T33" i="219"/>
  <c r="R33" i="219"/>
  <c r="P33" i="219"/>
  <c r="N33" i="219"/>
  <c r="L33" i="219"/>
  <c r="J33" i="219"/>
  <c r="H33" i="219"/>
  <c r="F33" i="219"/>
  <c r="D33" i="219"/>
  <c r="V32" i="219"/>
  <c r="T32" i="219"/>
  <c r="R32" i="219"/>
  <c r="P32" i="219"/>
  <c r="N32" i="219"/>
  <c r="L32" i="219"/>
  <c r="J32" i="219"/>
  <c r="H32" i="219"/>
  <c r="F32" i="219"/>
  <c r="D32" i="219"/>
  <c r="V31" i="219"/>
  <c r="T31" i="219"/>
  <c r="R31" i="219"/>
  <c r="P31" i="219"/>
  <c r="N31" i="219"/>
  <c r="L31" i="219"/>
  <c r="J31" i="219"/>
  <c r="H31" i="219"/>
  <c r="F31" i="219"/>
  <c r="D31" i="219"/>
  <c r="V30" i="219"/>
  <c r="T30" i="219"/>
  <c r="R30" i="219"/>
  <c r="P30" i="219"/>
  <c r="N30" i="219"/>
  <c r="L30" i="219"/>
  <c r="J30" i="219"/>
  <c r="H30" i="219"/>
  <c r="F30" i="219"/>
  <c r="D30" i="219"/>
  <c r="V29" i="219"/>
  <c r="T29" i="219"/>
  <c r="R29" i="219"/>
  <c r="P29" i="219"/>
  <c r="N29" i="219"/>
  <c r="L29" i="219"/>
  <c r="J29" i="219"/>
  <c r="H29" i="219"/>
  <c r="F29" i="219"/>
  <c r="D29" i="219"/>
  <c r="V28" i="219"/>
  <c r="T28" i="219"/>
  <c r="R28" i="219"/>
  <c r="P28" i="219"/>
  <c r="N28" i="219"/>
  <c r="L28" i="219"/>
  <c r="J28" i="219"/>
  <c r="H28" i="219"/>
  <c r="F28" i="219"/>
  <c r="D28" i="219"/>
  <c r="V27" i="219"/>
  <c r="T27" i="219"/>
  <c r="R27" i="219"/>
  <c r="P27" i="219"/>
  <c r="N27" i="219"/>
  <c r="L27" i="219"/>
  <c r="J27" i="219"/>
  <c r="H27" i="219"/>
  <c r="F27" i="219"/>
  <c r="D27" i="219"/>
  <c r="V26" i="219"/>
  <c r="T26" i="219"/>
  <c r="R26" i="219"/>
  <c r="P26" i="219"/>
  <c r="N26" i="219"/>
  <c r="L26" i="219"/>
  <c r="J26" i="219"/>
  <c r="H26" i="219"/>
  <c r="F26" i="219"/>
  <c r="D26" i="219"/>
  <c r="G18" i="219"/>
  <c r="Y26" i="220" s="1"/>
  <c r="G17" i="219"/>
  <c r="Y25" i="220" s="1"/>
  <c r="G16" i="219"/>
  <c r="Y24" i="220" s="1"/>
  <c r="G15" i="219"/>
  <c r="Y23" i="220" s="1"/>
  <c r="G14" i="219"/>
  <c r="Y22" i="220" s="1"/>
  <c r="G13" i="219"/>
  <c r="Y21" i="220" s="1"/>
  <c r="G12" i="219"/>
  <c r="Y20" i="220" s="1"/>
  <c r="G11" i="219"/>
  <c r="Y19" i="220" s="1"/>
  <c r="G10" i="219"/>
  <c r="Y18" i="220" s="1"/>
  <c r="G9" i="219"/>
  <c r="Y17" i="220" s="1"/>
  <c r="G8" i="219"/>
  <c r="Y16" i="220" s="1"/>
  <c r="G7" i="219"/>
  <c r="Y15" i="220" s="1"/>
  <c r="G6" i="219"/>
  <c r="Y14" i="220" s="1"/>
  <c r="G5" i="219"/>
  <c r="Y13" i="220" s="1"/>
  <c r="G4" i="219"/>
  <c r="Y12" i="220" s="1"/>
  <c r="G3" i="219"/>
  <c r="Y11" i="220" s="1"/>
  <c r="V12" i="225" l="1"/>
  <c r="T20" i="225"/>
  <c r="P27" i="225"/>
  <c r="S24" i="225"/>
  <c r="U12" i="225"/>
  <c r="S11" i="225"/>
  <c r="J15" i="226"/>
  <c r="O22" i="225"/>
  <c r="O11" i="225"/>
  <c r="I14" i="226"/>
  <c r="P14" i="225"/>
  <c r="T17" i="225"/>
  <c r="P24" i="225"/>
  <c r="T27" i="225"/>
  <c r="O18" i="225"/>
  <c r="O24" i="225"/>
  <c r="O16" i="225"/>
  <c r="I18" i="226"/>
  <c r="H12" i="226"/>
  <c r="K11" i="226"/>
  <c r="S23" i="225"/>
  <c r="H16" i="226"/>
  <c r="P15" i="225"/>
  <c r="T15" i="225"/>
  <c r="P17" i="225"/>
  <c r="P19" i="225"/>
  <c r="S20" i="225"/>
  <c r="T21" i="225"/>
  <c r="T23" i="225"/>
  <c r="P25" i="225"/>
  <c r="H8" i="226"/>
  <c r="J14" i="226"/>
  <c r="S15" i="225"/>
  <c r="H4" i="226"/>
  <c r="O14" i="225"/>
  <c r="S14" i="225"/>
  <c r="S16" i="225"/>
  <c r="S18" i="225"/>
  <c r="O20" i="225"/>
  <c r="S22" i="225"/>
  <c r="P26" i="225"/>
  <c r="J17" i="226"/>
  <c r="K3" i="226"/>
  <c r="K16" i="226"/>
  <c r="U11" i="225"/>
  <c r="K7" i="226"/>
  <c r="K15" i="226"/>
  <c r="S13" i="225"/>
  <c r="J10" i="226"/>
  <c r="J6" i="226"/>
  <c r="J18" i="226"/>
  <c r="I3" i="226"/>
  <c r="O13" i="225"/>
  <c r="I5" i="226"/>
  <c r="I9" i="226"/>
  <c r="I13" i="226"/>
  <c r="Y30" i="225"/>
  <c r="I17" i="226"/>
  <c r="H13" i="226"/>
  <c r="A44" i="226"/>
  <c r="M28" i="225" s="1"/>
  <c r="U27" i="225"/>
  <c r="Q27" i="225"/>
  <c r="M27" i="225"/>
  <c r="S26" i="225"/>
  <c r="O26" i="225"/>
  <c r="U25" i="225"/>
  <c r="Q25" i="225"/>
  <c r="M25" i="225"/>
  <c r="H3" i="226"/>
  <c r="I4" i="226"/>
  <c r="J5" i="226"/>
  <c r="K6" i="226"/>
  <c r="H7" i="226"/>
  <c r="I8" i="226"/>
  <c r="J9" i="226"/>
  <c r="K10" i="226"/>
  <c r="H11" i="226"/>
  <c r="I12" i="226"/>
  <c r="J13" i="226"/>
  <c r="K14" i="226"/>
  <c r="H15" i="226"/>
  <c r="I16" i="226"/>
  <c r="J4" i="226"/>
  <c r="K5" i="226"/>
  <c r="H6" i="226"/>
  <c r="I7" i="226"/>
  <c r="J8" i="226"/>
  <c r="K9" i="226"/>
  <c r="H10" i="226"/>
  <c r="I11" i="226"/>
  <c r="J12" i="226"/>
  <c r="K13" i="226"/>
  <c r="H14" i="226"/>
  <c r="I15" i="226"/>
  <c r="J16" i="226"/>
  <c r="J3" i="226"/>
  <c r="K4" i="226"/>
  <c r="H5" i="226"/>
  <c r="I6" i="226"/>
  <c r="J7" i="226"/>
  <c r="K8" i="226"/>
  <c r="H9" i="226"/>
  <c r="I10" i="226"/>
  <c r="J11" i="226"/>
  <c r="K12" i="226"/>
  <c r="M11" i="220"/>
  <c r="Q13" i="220"/>
  <c r="U15" i="220"/>
  <c r="U17" i="220"/>
  <c r="M21" i="220"/>
  <c r="M23" i="220"/>
  <c r="M25" i="220"/>
  <c r="M27" i="220"/>
  <c r="Q29" i="220"/>
  <c r="M33" i="220"/>
  <c r="Q41" i="220"/>
  <c r="Q11" i="220"/>
  <c r="M13" i="220"/>
  <c r="Q15" i="220"/>
  <c r="Q17" i="220"/>
  <c r="Q19" i="220"/>
  <c r="Q21" i="220"/>
  <c r="Q23" i="220"/>
  <c r="Q25" i="220"/>
  <c r="Q27" i="220"/>
  <c r="M29" i="220"/>
  <c r="M31" i="220"/>
  <c r="U31" i="220"/>
  <c r="Q33" i="220"/>
  <c r="Q35" i="220"/>
  <c r="M37" i="220"/>
  <c r="U37" i="220"/>
  <c r="Q39" i="220"/>
  <c r="M41" i="220"/>
  <c r="R11" i="220"/>
  <c r="R13" i="220"/>
  <c r="N15" i="220"/>
  <c r="V15" i="220"/>
  <c r="R17" i="220"/>
  <c r="R19" i="220"/>
  <c r="N21" i="220"/>
  <c r="V21" i="220"/>
  <c r="R23" i="220"/>
  <c r="R25" i="220"/>
  <c r="N27" i="220"/>
  <c r="V27" i="220"/>
  <c r="R29" i="220"/>
  <c r="N31" i="220"/>
  <c r="V31" i="220"/>
  <c r="R33" i="220"/>
  <c r="R35" i="220"/>
  <c r="N37" i="220"/>
  <c r="V37" i="220"/>
  <c r="R39" i="220"/>
  <c r="V41" i="220"/>
  <c r="U11" i="220"/>
  <c r="U13" i="220"/>
  <c r="M15" i="220"/>
  <c r="M17" i="220"/>
  <c r="M19" i="220"/>
  <c r="U19" i="220"/>
  <c r="U21" i="220"/>
  <c r="U23" i="220"/>
  <c r="U25" i="220"/>
  <c r="U27" i="220"/>
  <c r="U29" i="220"/>
  <c r="Q31" i="220"/>
  <c r="U33" i="220"/>
  <c r="M35" i="220"/>
  <c r="U35" i="220"/>
  <c r="Q37" i="220"/>
  <c r="M39" i="220"/>
  <c r="U39" i="220"/>
  <c r="U41" i="220"/>
  <c r="N11" i="220"/>
  <c r="V11" i="220"/>
  <c r="N13" i="220"/>
  <c r="V13" i="220"/>
  <c r="R15" i="220"/>
  <c r="N17" i="220"/>
  <c r="V17" i="220"/>
  <c r="N19" i="220"/>
  <c r="V19" i="220"/>
  <c r="R21" i="220"/>
  <c r="N23" i="220"/>
  <c r="V23" i="220"/>
  <c r="N25" i="220"/>
  <c r="V25" i="220"/>
  <c r="R27" i="220"/>
  <c r="N29" i="220"/>
  <c r="V29" i="220"/>
  <c r="R31" i="220"/>
  <c r="N33" i="220"/>
  <c r="V33" i="220"/>
  <c r="N35" i="220"/>
  <c r="V35" i="220"/>
  <c r="R37" i="220"/>
  <c r="N39" i="220"/>
  <c r="V39" i="220"/>
  <c r="N41" i="220"/>
  <c r="R41" i="220"/>
  <c r="O11" i="220"/>
  <c r="S11" i="220"/>
  <c r="O13" i="220"/>
  <c r="S13" i="220"/>
  <c r="O17" i="220"/>
  <c r="S19" i="220"/>
  <c r="O21" i="220"/>
  <c r="S21" i="220"/>
  <c r="O23" i="220"/>
  <c r="S23" i="220"/>
  <c r="O25" i="220"/>
  <c r="S25" i="220"/>
  <c r="O27" i="220"/>
  <c r="S27" i="220"/>
  <c r="O29" i="220"/>
  <c r="S29" i="220"/>
  <c r="O31" i="220"/>
  <c r="S31" i="220"/>
  <c r="O33" i="220"/>
  <c r="S33" i="220"/>
  <c r="O35" i="220"/>
  <c r="S35" i="220"/>
  <c r="O37" i="220"/>
  <c r="S37" i="220"/>
  <c r="O39" i="220"/>
  <c r="S39" i="220"/>
  <c r="O41" i="220"/>
  <c r="S41" i="220"/>
  <c r="O15" i="220"/>
  <c r="S15" i="220"/>
  <c r="S17" i="220"/>
  <c r="O19" i="220"/>
  <c r="P11" i="220"/>
  <c r="T11" i="220"/>
  <c r="N12" i="220"/>
  <c r="R12" i="220"/>
  <c r="V12" i="220"/>
  <c r="P13" i="220"/>
  <c r="T13" i="220"/>
  <c r="N14" i="220"/>
  <c r="R14" i="220"/>
  <c r="V14" i="220"/>
  <c r="P15" i="220"/>
  <c r="T15" i="220"/>
  <c r="N16" i="220"/>
  <c r="R16" i="220"/>
  <c r="V16" i="220"/>
  <c r="P17" i="220"/>
  <c r="T17" i="220"/>
  <c r="N18" i="220"/>
  <c r="R18" i="220"/>
  <c r="V18" i="220"/>
  <c r="P19" i="220"/>
  <c r="T19" i="220"/>
  <c r="N20" i="220"/>
  <c r="R20" i="220"/>
  <c r="V20" i="220"/>
  <c r="P21" i="220"/>
  <c r="T21" i="220"/>
  <c r="N22" i="220"/>
  <c r="R22" i="220"/>
  <c r="V22" i="220"/>
  <c r="P23" i="220"/>
  <c r="T23" i="220"/>
  <c r="N24" i="220"/>
  <c r="R24" i="220"/>
  <c r="V24" i="220"/>
  <c r="P25" i="220"/>
  <c r="T25" i="220"/>
  <c r="N26" i="220"/>
  <c r="R26" i="220"/>
  <c r="V26" i="220"/>
  <c r="P27" i="220"/>
  <c r="T27" i="220"/>
  <c r="N28" i="220"/>
  <c r="R28" i="220"/>
  <c r="V28" i="220"/>
  <c r="P29" i="220"/>
  <c r="T29" i="220"/>
  <c r="N30" i="220"/>
  <c r="R30" i="220"/>
  <c r="V30" i="220"/>
  <c r="P31" i="220"/>
  <c r="T31" i="220"/>
  <c r="N32" i="220"/>
  <c r="R32" i="220"/>
  <c r="V32" i="220"/>
  <c r="P33" i="220"/>
  <c r="T33" i="220"/>
  <c r="N34" i="220"/>
  <c r="R34" i="220"/>
  <c r="V34" i="220"/>
  <c r="P35" i="220"/>
  <c r="T35" i="220"/>
  <c r="N36" i="220"/>
  <c r="R36" i="220"/>
  <c r="V36" i="220"/>
  <c r="P37" i="220"/>
  <c r="T37" i="220"/>
  <c r="N38" i="220"/>
  <c r="R38" i="220"/>
  <c r="V38" i="220"/>
  <c r="P39" i="220"/>
  <c r="T39" i="220"/>
  <c r="P41" i="220"/>
  <c r="T41" i="220"/>
  <c r="P12" i="220"/>
  <c r="T12" i="220"/>
  <c r="P14" i="220"/>
  <c r="T14" i="220"/>
  <c r="P16" i="220"/>
  <c r="T16" i="220"/>
  <c r="P18" i="220"/>
  <c r="T18" i="220"/>
  <c r="P20" i="220"/>
  <c r="T20" i="220"/>
  <c r="P22" i="220"/>
  <c r="T22" i="220"/>
  <c r="P24" i="220"/>
  <c r="T24" i="220"/>
  <c r="P26" i="220"/>
  <c r="T26" i="220"/>
  <c r="P28" i="220"/>
  <c r="T28" i="220"/>
  <c r="H12" i="219"/>
  <c r="N40" i="220"/>
  <c r="R40" i="220"/>
  <c r="V40" i="220"/>
  <c r="I15" i="219"/>
  <c r="I14" i="219"/>
  <c r="J10" i="219"/>
  <c r="H4" i="219"/>
  <c r="I13" i="219"/>
  <c r="J5" i="219"/>
  <c r="H8" i="219"/>
  <c r="I12" i="219"/>
  <c r="K8" i="219"/>
  <c r="M12" i="220"/>
  <c r="Q12" i="220"/>
  <c r="U12" i="220"/>
  <c r="M14" i="220"/>
  <c r="Q14" i="220"/>
  <c r="U14" i="220"/>
  <c r="M16" i="220"/>
  <c r="Q16" i="220"/>
  <c r="U16" i="220"/>
  <c r="M18" i="220"/>
  <c r="Q18" i="220"/>
  <c r="U18" i="220"/>
  <c r="M20" i="220"/>
  <c r="Q20" i="220"/>
  <c r="U20" i="220"/>
  <c r="M22" i="220"/>
  <c r="Q22" i="220"/>
  <c r="U22" i="220"/>
  <c r="M24" i="220"/>
  <c r="Q24" i="220"/>
  <c r="U24" i="220"/>
  <c r="M26" i="220"/>
  <c r="Q26" i="220"/>
  <c r="U26" i="220"/>
  <c r="M28" i="220"/>
  <c r="Q28" i="220"/>
  <c r="U28" i="220"/>
  <c r="M30" i="220"/>
  <c r="Q30" i="220"/>
  <c r="U30" i="220"/>
  <c r="M32" i="220"/>
  <c r="Q32" i="220"/>
  <c r="U32" i="220"/>
  <c r="M34" i="220"/>
  <c r="Q34" i="220"/>
  <c r="U34" i="220"/>
  <c r="M36" i="220"/>
  <c r="Q36" i="220"/>
  <c r="U36" i="220"/>
  <c r="M38" i="220"/>
  <c r="Q38" i="220"/>
  <c r="M40" i="220"/>
  <c r="Q40" i="220"/>
  <c r="U40" i="220"/>
  <c r="H16" i="219"/>
  <c r="P30" i="220"/>
  <c r="T30" i="220"/>
  <c r="P32" i="220"/>
  <c r="T32" i="220"/>
  <c r="P34" i="220"/>
  <c r="T34" i="220"/>
  <c r="P36" i="220"/>
  <c r="T36" i="220"/>
  <c r="P38" i="220"/>
  <c r="T38" i="220"/>
  <c r="P40" i="220"/>
  <c r="T40" i="220"/>
  <c r="K4" i="219"/>
  <c r="J12" i="219"/>
  <c r="I18" i="219"/>
  <c r="J13" i="219"/>
  <c r="J14" i="219"/>
  <c r="J15" i="219"/>
  <c r="J16" i="219"/>
  <c r="K9" i="219"/>
  <c r="K12" i="219"/>
  <c r="K13" i="219"/>
  <c r="K14" i="219"/>
  <c r="K15" i="219"/>
  <c r="K16" i="219"/>
  <c r="S12" i="220"/>
  <c r="S14" i="220"/>
  <c r="K3" i="219"/>
  <c r="K6" i="219"/>
  <c r="K11" i="219"/>
  <c r="K5" i="219"/>
  <c r="K7" i="219"/>
  <c r="K10" i="219"/>
  <c r="J3" i="219"/>
  <c r="J4" i="219"/>
  <c r="J9" i="219"/>
  <c r="J18" i="219"/>
  <c r="J7" i="219"/>
  <c r="J8" i="219"/>
  <c r="S16" i="220"/>
  <c r="S18" i="220"/>
  <c r="S20" i="220"/>
  <c r="S22" i="220"/>
  <c r="S24" i="220"/>
  <c r="S26" i="220"/>
  <c r="S28" i="220"/>
  <c r="S30" i="220"/>
  <c r="S32" i="220"/>
  <c r="S34" i="220"/>
  <c r="S36" i="220"/>
  <c r="S38" i="220"/>
  <c r="S40" i="220"/>
  <c r="J6" i="219"/>
  <c r="J11" i="219"/>
  <c r="J17" i="219"/>
  <c r="I3" i="219"/>
  <c r="I16" i="219"/>
  <c r="I17" i="219"/>
  <c r="I4" i="219"/>
  <c r="I5" i="219"/>
  <c r="I6" i="219"/>
  <c r="I7" i="219"/>
  <c r="O12" i="220"/>
  <c r="O14" i="220"/>
  <c r="O16" i="220"/>
  <c r="O18" i="220"/>
  <c r="O20" i="220"/>
  <c r="O22" i="220"/>
  <c r="O24" i="220"/>
  <c r="O26" i="220"/>
  <c r="O28" i="220"/>
  <c r="O30" i="220"/>
  <c r="O32" i="220"/>
  <c r="O34" i="220"/>
  <c r="O36" i="220"/>
  <c r="O38" i="220"/>
  <c r="O40" i="220"/>
  <c r="I8" i="219"/>
  <c r="I9" i="219"/>
  <c r="I10" i="219"/>
  <c r="I11" i="219"/>
  <c r="H5" i="219"/>
  <c r="H9" i="219"/>
  <c r="H13" i="219"/>
  <c r="H6" i="219"/>
  <c r="H10" i="219"/>
  <c r="H14" i="219"/>
  <c r="H3" i="219"/>
  <c r="H7" i="219"/>
  <c r="H11" i="219"/>
  <c r="H15" i="219"/>
  <c r="Y30" i="220"/>
  <c r="V41" i="218"/>
  <c r="U41" i="218"/>
  <c r="T41" i="218"/>
  <c r="S41" i="218"/>
  <c r="R41" i="218"/>
  <c r="Q41" i="218"/>
  <c r="P41" i="218"/>
  <c r="O41" i="218"/>
  <c r="N41" i="218"/>
  <c r="M41" i="218"/>
  <c r="K41" i="218"/>
  <c r="V40" i="218"/>
  <c r="U40" i="218"/>
  <c r="T40" i="218"/>
  <c r="S40" i="218"/>
  <c r="R40" i="218"/>
  <c r="Q40" i="218"/>
  <c r="P40" i="218"/>
  <c r="O40" i="218"/>
  <c r="N40" i="218"/>
  <c r="M40" i="218"/>
  <c r="K40" i="218"/>
  <c r="V39" i="218"/>
  <c r="U39" i="218"/>
  <c r="T39" i="218"/>
  <c r="S39" i="218"/>
  <c r="R39" i="218"/>
  <c r="Q39" i="218"/>
  <c r="P39" i="218"/>
  <c r="O39" i="218"/>
  <c r="N39" i="218"/>
  <c r="M39" i="218"/>
  <c r="K39" i="218"/>
  <c r="V38" i="218"/>
  <c r="U38" i="218"/>
  <c r="T38" i="218"/>
  <c r="S38" i="218"/>
  <c r="R38" i="218"/>
  <c r="Q38" i="218"/>
  <c r="P38" i="218"/>
  <c r="O38" i="218"/>
  <c r="N38" i="218"/>
  <c r="M38" i="218"/>
  <c r="K38" i="218"/>
  <c r="V37" i="218"/>
  <c r="U37" i="218"/>
  <c r="T37" i="218"/>
  <c r="S37" i="218"/>
  <c r="R37" i="218"/>
  <c r="Q37" i="218"/>
  <c r="P37" i="218"/>
  <c r="O37" i="218"/>
  <c r="N37" i="218"/>
  <c r="M37" i="218"/>
  <c r="K37" i="218"/>
  <c r="V36" i="218"/>
  <c r="U36" i="218"/>
  <c r="T36" i="218"/>
  <c r="S36" i="218"/>
  <c r="R36" i="218"/>
  <c r="Q36" i="218"/>
  <c r="P36" i="218"/>
  <c r="O36" i="218"/>
  <c r="N36" i="218"/>
  <c r="M36" i="218"/>
  <c r="K36" i="218"/>
  <c r="V35" i="218"/>
  <c r="U35" i="218"/>
  <c r="T35" i="218"/>
  <c r="S35" i="218"/>
  <c r="R35" i="218"/>
  <c r="Q35" i="218"/>
  <c r="P35" i="218"/>
  <c r="O35" i="218"/>
  <c r="N35" i="218"/>
  <c r="M35" i="218"/>
  <c r="K35" i="218"/>
  <c r="V34" i="218"/>
  <c r="U34" i="218"/>
  <c r="T34" i="218"/>
  <c r="S34" i="218"/>
  <c r="R34" i="218"/>
  <c r="Q34" i="218"/>
  <c r="P34" i="218"/>
  <c r="O34" i="218"/>
  <c r="N34" i="218"/>
  <c r="M34" i="218"/>
  <c r="K34" i="218"/>
  <c r="V33" i="218"/>
  <c r="U33" i="218"/>
  <c r="T33" i="218"/>
  <c r="S33" i="218"/>
  <c r="R33" i="218"/>
  <c r="Q33" i="218"/>
  <c r="P33" i="218"/>
  <c r="O33" i="218"/>
  <c r="N33" i="218"/>
  <c r="M33" i="218"/>
  <c r="K33" i="218"/>
  <c r="V32" i="218"/>
  <c r="U32" i="218"/>
  <c r="T32" i="218"/>
  <c r="S32" i="218"/>
  <c r="R32" i="218"/>
  <c r="Q32" i="218"/>
  <c r="P32" i="218"/>
  <c r="O32" i="218"/>
  <c r="N32" i="218"/>
  <c r="M32" i="218"/>
  <c r="K32" i="218"/>
  <c r="X31" i="218" a="1"/>
  <c r="X31" i="218" s="1"/>
  <c r="V31" i="218"/>
  <c r="U31" i="218"/>
  <c r="T31" i="218"/>
  <c r="S31" i="218"/>
  <c r="R31" i="218"/>
  <c r="Q31" i="218"/>
  <c r="P31" i="218"/>
  <c r="O31" i="218"/>
  <c r="N31" i="218"/>
  <c r="M31" i="218"/>
  <c r="K31" i="218"/>
  <c r="X30" i="218" a="1"/>
  <c r="X30" i="218" s="1"/>
  <c r="V30" i="218"/>
  <c r="U30" i="218"/>
  <c r="T30" i="218"/>
  <c r="S30" i="218"/>
  <c r="R30" i="218"/>
  <c r="Q30" i="218"/>
  <c r="P30" i="218"/>
  <c r="O30" i="218"/>
  <c r="N30" i="218"/>
  <c r="M30" i="218"/>
  <c r="K30" i="218"/>
  <c r="V29" i="218"/>
  <c r="U29" i="218"/>
  <c r="T29" i="218"/>
  <c r="S29" i="218"/>
  <c r="R29" i="218"/>
  <c r="Q29" i="218"/>
  <c r="P29" i="218"/>
  <c r="O29" i="218"/>
  <c r="N29" i="218"/>
  <c r="M29" i="218"/>
  <c r="K29" i="218"/>
  <c r="V28" i="218"/>
  <c r="U28" i="218"/>
  <c r="T28" i="218"/>
  <c r="S28" i="218"/>
  <c r="R28" i="218"/>
  <c r="Q28" i="218"/>
  <c r="P28" i="218"/>
  <c r="O28" i="218"/>
  <c r="N28" i="218"/>
  <c r="M28" i="218"/>
  <c r="K28" i="218"/>
  <c r="V27" i="218"/>
  <c r="U27" i="218"/>
  <c r="T27" i="218"/>
  <c r="S27" i="218"/>
  <c r="R27" i="218"/>
  <c r="Q27" i="218"/>
  <c r="P27" i="218"/>
  <c r="O27" i="218"/>
  <c r="N27" i="218"/>
  <c r="M27" i="218"/>
  <c r="K27" i="218"/>
  <c r="AC26" i="218"/>
  <c r="Y26" i="218"/>
  <c r="V26" i="218"/>
  <c r="U26" i="218"/>
  <c r="T26" i="218"/>
  <c r="S26" i="218"/>
  <c r="R26" i="218"/>
  <c r="Q26" i="218"/>
  <c r="P26" i="218"/>
  <c r="O26" i="218"/>
  <c r="N26" i="218"/>
  <c r="M26" i="218"/>
  <c r="K26" i="218"/>
  <c r="AC25" i="218"/>
  <c r="Y25" i="218"/>
  <c r="V25" i="218"/>
  <c r="U25" i="218"/>
  <c r="T25" i="218"/>
  <c r="S25" i="218"/>
  <c r="R25" i="218"/>
  <c r="Q25" i="218"/>
  <c r="P25" i="218"/>
  <c r="O25" i="218"/>
  <c r="N25" i="218"/>
  <c r="M25" i="218"/>
  <c r="K25" i="218"/>
  <c r="Y24" i="218"/>
  <c r="V24" i="218"/>
  <c r="U24" i="218"/>
  <c r="T24" i="218"/>
  <c r="S24" i="218"/>
  <c r="R24" i="218"/>
  <c r="Q24" i="218"/>
  <c r="P24" i="218"/>
  <c r="O24" i="218"/>
  <c r="N24" i="218"/>
  <c r="M24" i="218"/>
  <c r="K24" i="218"/>
  <c r="Y23" i="218"/>
  <c r="V23" i="218"/>
  <c r="U23" i="218"/>
  <c r="T23" i="218"/>
  <c r="S23" i="218"/>
  <c r="R23" i="218"/>
  <c r="Q23" i="218"/>
  <c r="P23" i="218"/>
  <c r="O23" i="218"/>
  <c r="N23" i="218"/>
  <c r="M23" i="218"/>
  <c r="K23" i="218"/>
  <c r="Y22" i="218"/>
  <c r="V22" i="218"/>
  <c r="U22" i="218"/>
  <c r="T22" i="218"/>
  <c r="S22" i="218"/>
  <c r="R22" i="218"/>
  <c r="Q22" i="218"/>
  <c r="P22" i="218"/>
  <c r="O22" i="218"/>
  <c r="N22" i="218"/>
  <c r="M22" i="218"/>
  <c r="K22" i="218"/>
  <c r="Y21" i="218"/>
  <c r="V21" i="218"/>
  <c r="U21" i="218"/>
  <c r="T21" i="218"/>
  <c r="S21" i="218"/>
  <c r="R21" i="218"/>
  <c r="Q21" i="218"/>
  <c r="P21" i="218"/>
  <c r="O21" i="218"/>
  <c r="N21" i="218"/>
  <c r="M21" i="218"/>
  <c r="K21" i="218"/>
  <c r="Y20" i="218"/>
  <c r="V20" i="218"/>
  <c r="U20" i="218"/>
  <c r="T20" i="218"/>
  <c r="S20" i="218"/>
  <c r="R20" i="218"/>
  <c r="Q20" i="218"/>
  <c r="P20" i="218"/>
  <c r="O20" i="218"/>
  <c r="N20" i="218"/>
  <c r="M20" i="218"/>
  <c r="K20" i="218"/>
  <c r="Y19" i="218"/>
  <c r="V19" i="218"/>
  <c r="U19" i="218"/>
  <c r="T19" i="218"/>
  <c r="S19" i="218"/>
  <c r="R19" i="218"/>
  <c r="Q19" i="218"/>
  <c r="P19" i="218"/>
  <c r="O19" i="218"/>
  <c r="N19" i="218"/>
  <c r="M19" i="218"/>
  <c r="K19" i="218"/>
  <c r="Y18" i="218"/>
  <c r="V18" i="218"/>
  <c r="U18" i="218"/>
  <c r="T18" i="218"/>
  <c r="S18" i="218"/>
  <c r="R18" i="218"/>
  <c r="Q18" i="218"/>
  <c r="P18" i="218"/>
  <c r="O18" i="218"/>
  <c r="N18" i="218"/>
  <c r="M18" i="218"/>
  <c r="K18" i="218"/>
  <c r="Y17" i="218"/>
  <c r="V17" i="218"/>
  <c r="U17" i="218"/>
  <c r="T17" i="218"/>
  <c r="S17" i="218"/>
  <c r="R17" i="218"/>
  <c r="Q17" i="218"/>
  <c r="P17" i="218"/>
  <c r="O17" i="218"/>
  <c r="N17" i="218"/>
  <c r="M17" i="218"/>
  <c r="K17" i="218"/>
  <c r="Y16" i="218"/>
  <c r="V16" i="218"/>
  <c r="U16" i="218"/>
  <c r="T16" i="218"/>
  <c r="S16" i="218"/>
  <c r="R16" i="218"/>
  <c r="Q16" i="218"/>
  <c r="P16" i="218"/>
  <c r="O16" i="218"/>
  <c r="N16" i="218"/>
  <c r="M16" i="218"/>
  <c r="K16" i="218"/>
  <c r="Y15" i="218"/>
  <c r="V15" i="218"/>
  <c r="U15" i="218"/>
  <c r="T15" i="218"/>
  <c r="S15" i="218"/>
  <c r="R15" i="218"/>
  <c r="Q15" i="218"/>
  <c r="P15" i="218"/>
  <c r="O15" i="218"/>
  <c r="N15" i="218"/>
  <c r="M15" i="218"/>
  <c r="K15" i="218"/>
  <c r="Y14" i="218"/>
  <c r="V14" i="218"/>
  <c r="U14" i="218"/>
  <c r="T14" i="218"/>
  <c r="S14" i="218"/>
  <c r="R14" i="218"/>
  <c r="Q14" i="218"/>
  <c r="P14" i="218"/>
  <c r="O14" i="218"/>
  <c r="N14" i="218"/>
  <c r="M14" i="218"/>
  <c r="K14" i="218"/>
  <c r="Y13" i="218"/>
  <c r="V13" i="218"/>
  <c r="U13" i="218"/>
  <c r="T13" i="218"/>
  <c r="S13" i="218"/>
  <c r="R13" i="218"/>
  <c r="Q13" i="218"/>
  <c r="P13" i="218"/>
  <c r="O13" i="218"/>
  <c r="N13" i="218"/>
  <c r="M13" i="218"/>
  <c r="K13" i="218"/>
  <c r="Y12" i="218"/>
  <c r="V12" i="218"/>
  <c r="U12" i="218"/>
  <c r="T12" i="218"/>
  <c r="S12" i="218"/>
  <c r="R12" i="218"/>
  <c r="Q12" i="218"/>
  <c r="P12" i="218"/>
  <c r="O12" i="218"/>
  <c r="N12" i="218"/>
  <c r="M12" i="218"/>
  <c r="K12" i="218"/>
  <c r="Y11" i="218"/>
  <c r="V11" i="218"/>
  <c r="U11" i="218"/>
  <c r="T11" i="218"/>
  <c r="S11" i="218"/>
  <c r="R11" i="218"/>
  <c r="Q11" i="218"/>
  <c r="P11" i="218"/>
  <c r="O11" i="218"/>
  <c r="N11" i="218"/>
  <c r="M11" i="218"/>
  <c r="K11" i="218"/>
  <c r="AA19" i="218" l="1"/>
  <c r="AC13" i="218"/>
  <c r="Z14" i="218"/>
  <c r="AB13" i="218"/>
  <c r="AB25" i="218"/>
  <c r="Z23" i="218"/>
  <c r="AA26" i="218"/>
  <c r="AC15" i="218"/>
  <c r="AB16" i="218"/>
  <c r="AC23" i="218"/>
  <c r="AB24" i="218"/>
  <c r="AB11" i="218"/>
  <c r="AC21" i="218"/>
  <c r="Z22" i="218"/>
  <c r="Z13" i="218"/>
  <c r="AB26" i="218"/>
  <c r="AA25" i="218"/>
  <c r="AD25" i="218" s="1"/>
  <c r="AE25" i="218" s="1"/>
  <c r="AC17" i="218"/>
  <c r="Z18" i="218"/>
  <c r="AA23" i="218"/>
  <c r="AC11" i="218"/>
  <c r="AA18" i="218"/>
  <c r="AB23" i="218"/>
  <c r="AB12" i="218"/>
  <c r="AC19" i="218"/>
  <c r="AB20" i="218"/>
  <c r="L17" i="226"/>
  <c r="M17" i="226" s="1"/>
  <c r="L14" i="226"/>
  <c r="M14" i="226" s="1"/>
  <c r="L18" i="226"/>
  <c r="M18" i="226" s="1"/>
  <c r="L16" i="226"/>
  <c r="M16" i="226" s="1"/>
  <c r="L12" i="226"/>
  <c r="M12" i="226" s="1"/>
  <c r="L8" i="226"/>
  <c r="M8" i="226" s="1"/>
  <c r="L4" i="226"/>
  <c r="M4" i="226" s="1"/>
  <c r="L5" i="226"/>
  <c r="M5" i="226" s="1"/>
  <c r="L9" i="226"/>
  <c r="M9" i="226" s="1"/>
  <c r="L13" i="226"/>
  <c r="M13" i="226" s="1"/>
  <c r="L10" i="226"/>
  <c r="M10" i="226" s="1"/>
  <c r="L6" i="226"/>
  <c r="M6" i="226" s="1"/>
  <c r="L15" i="226"/>
  <c r="M15" i="226" s="1"/>
  <c r="L11" i="226"/>
  <c r="M11" i="226" s="1"/>
  <c r="L7" i="226"/>
  <c r="M7" i="226" s="1"/>
  <c r="L3" i="226"/>
  <c r="M3" i="226" s="1"/>
  <c r="A45" i="226"/>
  <c r="A46" i="226" s="1"/>
  <c r="A47" i="226" s="1"/>
  <c r="A48" i="226" s="1"/>
  <c r="A49" i="226" s="1"/>
  <c r="A50" i="226" s="1"/>
  <c r="A51" i="226" s="1"/>
  <c r="A52" i="226" s="1"/>
  <c r="R28" i="225"/>
  <c r="P28" i="225"/>
  <c r="V28" i="225"/>
  <c r="O28" i="225"/>
  <c r="T28" i="225"/>
  <c r="N28" i="225"/>
  <c r="Q28" i="225"/>
  <c r="S28" i="225"/>
  <c r="U28" i="225"/>
  <c r="AB26" i="220"/>
  <c r="AB25" i="220"/>
  <c r="L18" i="219"/>
  <c r="M18" i="219" s="1"/>
  <c r="L14" i="219"/>
  <c r="M14" i="219" s="1"/>
  <c r="Z14" i="220"/>
  <c r="L12" i="219"/>
  <c r="M12" i="219" s="1"/>
  <c r="Z21" i="220"/>
  <c r="AC22" i="220"/>
  <c r="Z15" i="220"/>
  <c r="Z20" i="220"/>
  <c r="L16" i="219"/>
  <c r="M16" i="219" s="1"/>
  <c r="Z12" i="220"/>
  <c r="AC13" i="220"/>
  <c r="L8" i="219"/>
  <c r="M8" i="219" s="1"/>
  <c r="AC12" i="220"/>
  <c r="AA26" i="220"/>
  <c r="AD26" i="220" s="1"/>
  <c r="AE26" i="220" s="1"/>
  <c r="Z18" i="220"/>
  <c r="AA25" i="220"/>
  <c r="AC16" i="220"/>
  <c r="AC14" i="220"/>
  <c r="AC24" i="220"/>
  <c r="Z23" i="220"/>
  <c r="AC23" i="220"/>
  <c r="AC17" i="220"/>
  <c r="Z19" i="220"/>
  <c r="Z24" i="220"/>
  <c r="Z16" i="220"/>
  <c r="AC11" i="220"/>
  <c r="AC18" i="220"/>
  <c r="L15" i="219"/>
  <c r="M15" i="219" s="1"/>
  <c r="AC21" i="220"/>
  <c r="Z13" i="220"/>
  <c r="Z22" i="220"/>
  <c r="AC19" i="220"/>
  <c r="Z17" i="220"/>
  <c r="AC15" i="220"/>
  <c r="AC20" i="220"/>
  <c r="Z11" i="220"/>
  <c r="L5" i="219"/>
  <c r="M5" i="219" s="1"/>
  <c r="L3" i="219"/>
  <c r="M3" i="219" s="1"/>
  <c r="L13" i="219"/>
  <c r="M13" i="219" s="1"/>
  <c r="Y30" i="218"/>
  <c r="AB18" i="220"/>
  <c r="AB13" i="220"/>
  <c r="AB12" i="220"/>
  <c r="AB11" i="220"/>
  <c r="AB22" i="220"/>
  <c r="AB19" i="220"/>
  <c r="AB17" i="220"/>
  <c r="AB20" i="220"/>
  <c r="AB14" i="220"/>
  <c r="L17" i="219"/>
  <c r="M17" i="219" s="1"/>
  <c r="AB23" i="220"/>
  <c r="AB21" i="220"/>
  <c r="AB15" i="220"/>
  <c r="AB24" i="220"/>
  <c r="AB16" i="220"/>
  <c r="L11" i="219"/>
  <c r="M11" i="219" s="1"/>
  <c r="L4" i="219"/>
  <c r="M4" i="219" s="1"/>
  <c r="AA18" i="220"/>
  <c r="AA11" i="220"/>
  <c r="AA22" i="220"/>
  <c r="AA23" i="220"/>
  <c r="AA17" i="220"/>
  <c r="AA13" i="220"/>
  <c r="AA20" i="220"/>
  <c r="L9" i="219"/>
  <c r="M9" i="219" s="1"/>
  <c r="AA12" i="220"/>
  <c r="AA14" i="220"/>
  <c r="L10" i="219"/>
  <c r="M10" i="219" s="1"/>
  <c r="AA19" i="220"/>
  <c r="AA16" i="220"/>
  <c r="L7" i="219"/>
  <c r="M7" i="219" s="1"/>
  <c r="L6" i="219"/>
  <c r="M6" i="219" s="1"/>
  <c r="AA21" i="220"/>
  <c r="AA15" i="220"/>
  <c r="AA24" i="220"/>
  <c r="AD25" i="220"/>
  <c r="AE25" i="220" s="1"/>
  <c r="AC12" i="218"/>
  <c r="AB15" i="218"/>
  <c r="Z17" i="218"/>
  <c r="AA22" i="218"/>
  <c r="Z12" i="218"/>
  <c r="AA13" i="218"/>
  <c r="AB14" i="218"/>
  <c r="Z16" i="218"/>
  <c r="AA17" i="218"/>
  <c r="AB18" i="218"/>
  <c r="Z20" i="218"/>
  <c r="AA21" i="218"/>
  <c r="AB22" i="218"/>
  <c r="Z24" i="218"/>
  <c r="AB19" i="218"/>
  <c r="Z21" i="218"/>
  <c r="AC24" i="218"/>
  <c r="Z11" i="218"/>
  <c r="AA12" i="218"/>
  <c r="AC14" i="218"/>
  <c r="Z15" i="218"/>
  <c r="AA16" i="218"/>
  <c r="AB17" i="218"/>
  <c r="AC18" i="218"/>
  <c r="Z19" i="218"/>
  <c r="AA20" i="218"/>
  <c r="AB21" i="218"/>
  <c r="AC22" i="218"/>
  <c r="AA24" i="218"/>
  <c r="AA14" i="218"/>
  <c r="AC16" i="218"/>
  <c r="AC20" i="218"/>
  <c r="AA11" i="218"/>
  <c r="AA15" i="218"/>
  <c r="AD23" i="218" l="1"/>
  <c r="AE23" i="218" s="1"/>
  <c r="AD26" i="218"/>
  <c r="AE26" i="218" s="1"/>
  <c r="AD14" i="218"/>
  <c r="AE14" i="218" s="1"/>
  <c r="AD19" i="218"/>
  <c r="AE19" i="218" s="1"/>
  <c r="AD22" i="218"/>
  <c r="AE22" i="218" s="1"/>
  <c r="AD11" i="218"/>
  <c r="AE11" i="218" s="1"/>
  <c r="AD24" i="218"/>
  <c r="AE24" i="218" s="1"/>
  <c r="AD18" i="218"/>
  <c r="AE18" i="218" s="1"/>
  <c r="AD13" i="218"/>
  <c r="AE13" i="218" s="1"/>
  <c r="A53" i="226"/>
  <c r="S37" i="225" s="1"/>
  <c r="S34" i="225"/>
  <c r="O33" i="225"/>
  <c r="M31" i="225"/>
  <c r="V30" i="225"/>
  <c r="N30" i="225"/>
  <c r="T29" i="225"/>
  <c r="S35" i="225"/>
  <c r="O34" i="225"/>
  <c r="T30" i="225"/>
  <c r="S36" i="225"/>
  <c r="O35" i="225"/>
  <c r="S32" i="225"/>
  <c r="U31" i="225"/>
  <c r="P29" i="225"/>
  <c r="O36" i="225"/>
  <c r="S33" i="225"/>
  <c r="O32" i="225"/>
  <c r="P30" i="225"/>
  <c r="V29" i="225"/>
  <c r="N29" i="225"/>
  <c r="V36" i="225"/>
  <c r="N34" i="225"/>
  <c r="V32" i="225"/>
  <c r="P31" i="225"/>
  <c r="O29" i="225"/>
  <c r="U35" i="225"/>
  <c r="M33" i="225"/>
  <c r="S31" i="225"/>
  <c r="P35" i="225"/>
  <c r="P33" i="225"/>
  <c r="M30" i="225"/>
  <c r="N35" i="225"/>
  <c r="V33" i="225"/>
  <c r="S30" i="225"/>
  <c r="U36" i="225"/>
  <c r="M34" i="225"/>
  <c r="U32" i="225"/>
  <c r="O31" i="225"/>
  <c r="T36" i="225"/>
  <c r="T34" i="225"/>
  <c r="T32" i="225"/>
  <c r="N31" i="225"/>
  <c r="U29" i="225"/>
  <c r="N36" i="225"/>
  <c r="V34" i="225"/>
  <c r="N32" i="225"/>
  <c r="O30" i="225"/>
  <c r="U37" i="225"/>
  <c r="M35" i="225"/>
  <c r="U33" i="225"/>
  <c r="P36" i="225"/>
  <c r="P34" i="225"/>
  <c r="P32" i="225"/>
  <c r="U30" i="225"/>
  <c r="V35" i="225"/>
  <c r="N33" i="225"/>
  <c r="T31" i="225"/>
  <c r="S29" i="225"/>
  <c r="M36" i="225"/>
  <c r="U34" i="225"/>
  <c r="M32" i="225"/>
  <c r="T35" i="225"/>
  <c r="T33" i="225"/>
  <c r="V31" i="225"/>
  <c r="M29" i="225"/>
  <c r="AD24" i="220"/>
  <c r="AE24" i="220" s="1"/>
  <c r="AD12" i="220"/>
  <c r="AE12" i="220" s="1"/>
  <c r="AD17" i="220"/>
  <c r="AE17" i="220" s="1"/>
  <c r="AD13" i="220"/>
  <c r="AE13" i="220" s="1"/>
  <c r="AD11" i="220"/>
  <c r="AE11" i="220" s="1"/>
  <c r="AD18" i="220"/>
  <c r="AE18" i="220" s="1"/>
  <c r="AD16" i="220"/>
  <c r="AE16" i="220" s="1"/>
  <c r="AD19" i="220"/>
  <c r="AE19" i="220" s="1"/>
  <c r="AD20" i="220"/>
  <c r="AE20" i="220" s="1"/>
  <c r="AD22" i="220"/>
  <c r="AE22" i="220" s="1"/>
  <c r="AD23" i="220"/>
  <c r="AE23" i="220" s="1"/>
  <c r="AD21" i="220"/>
  <c r="AE21" i="220" s="1"/>
  <c r="AD14" i="220"/>
  <c r="AE14" i="220" s="1"/>
  <c r="AD15" i="220"/>
  <c r="AE15" i="220" s="1"/>
  <c r="AD12" i="218"/>
  <c r="AE12" i="218" s="1"/>
  <c r="AD21" i="218"/>
  <c r="AE21" i="218" s="1"/>
  <c r="AD16" i="218"/>
  <c r="AE16" i="218" s="1"/>
  <c r="AD15" i="218"/>
  <c r="AE15" i="218" s="1"/>
  <c r="AD20" i="218"/>
  <c r="AE20" i="218" s="1"/>
  <c r="AD17" i="218"/>
  <c r="AE17" i="218" s="1"/>
  <c r="T37" i="225" l="1"/>
  <c r="N37" i="225"/>
  <c r="V37" i="225"/>
  <c r="P37" i="225"/>
  <c r="M37" i="225"/>
  <c r="A54" i="226"/>
  <c r="Q38" i="225" s="1"/>
  <c r="R29" i="225"/>
  <c r="R30" i="225"/>
  <c r="Q31" i="225"/>
  <c r="R35" i="225"/>
  <c r="Q34" i="225"/>
  <c r="R31" i="225"/>
  <c r="R36" i="225"/>
  <c r="R32" i="225"/>
  <c r="Q35" i="225"/>
  <c r="R37" i="225"/>
  <c r="R33" i="225"/>
  <c r="Q36" i="225"/>
  <c r="Q32" i="225"/>
  <c r="Q29" i="225"/>
  <c r="R34" i="225"/>
  <c r="Q37" i="225"/>
  <c r="Q33" i="225"/>
  <c r="Q30" i="225"/>
  <c r="O37" i="225"/>
  <c r="R38" i="225" l="1"/>
  <c r="A55" i="226"/>
  <c r="O38" i="225"/>
  <c r="U39" i="225"/>
  <c r="N39" i="225"/>
  <c r="T38" i="225"/>
  <c r="V39" i="225"/>
  <c r="T39" i="225"/>
  <c r="O39" i="225"/>
  <c r="N38" i="225"/>
  <c r="M39" i="225"/>
  <c r="P39" i="225"/>
  <c r="M38" i="225"/>
  <c r="P38" i="225"/>
  <c r="S38" i="225"/>
  <c r="S39" i="225"/>
  <c r="V38" i="225"/>
  <c r="U38" i="225"/>
  <c r="A56" i="226" l="1"/>
  <c r="Q41" i="225" s="1"/>
  <c r="R39" i="225"/>
  <c r="Q39" i="225"/>
  <c r="R41" i="225"/>
  <c r="Q26" i="149"/>
  <c r="P26" i="149"/>
  <c r="O26" i="149"/>
  <c r="N26" i="149"/>
  <c r="Q25" i="149"/>
  <c r="P25" i="149"/>
  <c r="O25" i="149"/>
  <c r="N25" i="149"/>
  <c r="Q24" i="149"/>
  <c r="P24" i="149"/>
  <c r="O24" i="149"/>
  <c r="N24" i="149"/>
  <c r="Q23" i="149"/>
  <c r="P23" i="149"/>
  <c r="O23" i="149"/>
  <c r="N23" i="149"/>
  <c r="Q22" i="149"/>
  <c r="P22" i="149"/>
  <c r="O22" i="149"/>
  <c r="N22" i="149"/>
  <c r="Q21" i="149"/>
  <c r="P21" i="149"/>
  <c r="O21" i="149"/>
  <c r="N21" i="149"/>
  <c r="Q20" i="149"/>
  <c r="P20" i="149"/>
  <c r="O20" i="149"/>
  <c r="N20" i="149"/>
  <c r="Q19" i="149"/>
  <c r="P19" i="149"/>
  <c r="O19" i="149"/>
  <c r="N19" i="149"/>
  <c r="Q18" i="149"/>
  <c r="P18" i="149"/>
  <c r="O18" i="149"/>
  <c r="N18" i="149"/>
  <c r="Q17" i="149"/>
  <c r="P17" i="149"/>
  <c r="O17" i="149"/>
  <c r="N17" i="149"/>
  <c r="Q16" i="149"/>
  <c r="P16" i="149"/>
  <c r="O16" i="149"/>
  <c r="N16" i="149"/>
  <c r="Q15" i="149"/>
  <c r="P15" i="149"/>
  <c r="O15" i="149"/>
  <c r="N15" i="149"/>
  <c r="Q14" i="149"/>
  <c r="P14" i="149"/>
  <c r="O14" i="149"/>
  <c r="N14" i="149"/>
  <c r="Q13" i="149"/>
  <c r="P13" i="149"/>
  <c r="O13" i="149"/>
  <c r="N13" i="149"/>
  <c r="Q40" i="225" l="1"/>
  <c r="AA26" i="225" s="1"/>
  <c r="AA25" i="225"/>
  <c r="V40" i="225"/>
  <c r="P40" i="225"/>
  <c r="N40" i="225"/>
  <c r="T40" i="225"/>
  <c r="T41" i="225"/>
  <c r="P41" i="225"/>
  <c r="O41" i="225"/>
  <c r="S41" i="225"/>
  <c r="S40" i="225"/>
  <c r="U40" i="225"/>
  <c r="N41" i="225"/>
  <c r="M40" i="225"/>
  <c r="O40" i="225"/>
  <c r="V41" i="225"/>
  <c r="R40" i="225"/>
  <c r="AB25" i="225" s="1"/>
  <c r="R21" i="149"/>
  <c r="S21" i="149" s="1"/>
  <c r="R24" i="149"/>
  <c r="S24" i="149" s="1"/>
  <c r="R19" i="149"/>
  <c r="S19" i="149" s="1"/>
  <c r="R22" i="149"/>
  <c r="S22" i="149" s="1"/>
  <c r="R20" i="149"/>
  <c r="S20" i="149" s="1"/>
  <c r="R23" i="149"/>
  <c r="S23" i="149" s="1"/>
  <c r="R26" i="149"/>
  <c r="S26" i="149" s="1"/>
  <c r="R16" i="149"/>
  <c r="S16" i="149" s="1"/>
  <c r="R13" i="149"/>
  <c r="S13" i="149" s="1"/>
  <c r="R25" i="149"/>
  <c r="S25" i="149" s="1"/>
  <c r="R14" i="149"/>
  <c r="S14" i="149" s="1"/>
  <c r="R17" i="149"/>
  <c r="S17" i="149" s="1"/>
  <c r="R15" i="149"/>
  <c r="S15" i="149" s="1"/>
  <c r="R18" i="149"/>
  <c r="S18" i="149" s="1"/>
  <c r="AC11" i="225" l="1"/>
  <c r="AC22" i="225"/>
  <c r="AC14" i="225"/>
  <c r="AC15" i="225"/>
  <c r="AC23" i="225"/>
  <c r="AC24" i="225"/>
  <c r="AC18" i="225"/>
  <c r="AC13" i="225"/>
  <c r="AC21" i="225"/>
  <c r="AC19" i="225"/>
  <c r="AC20" i="225"/>
  <c r="AB26" i="225"/>
  <c r="AD26" i="225" s="1"/>
  <c r="AE26" i="225" s="1"/>
  <c r="AA15" i="225"/>
  <c r="AA19" i="225"/>
  <c r="AC12" i="225"/>
  <c r="AC16" i="225"/>
  <c r="AC17" i="225"/>
  <c r="AA17" i="225"/>
  <c r="AA13" i="225"/>
  <c r="AA20" i="225"/>
  <c r="AA12" i="225"/>
  <c r="AA24" i="225"/>
  <c r="AA21" i="225"/>
  <c r="AA14" i="225"/>
  <c r="AA11" i="225"/>
  <c r="AA16" i="225"/>
  <c r="AA23" i="225"/>
  <c r="AA18" i="225"/>
  <c r="AA22" i="225"/>
  <c r="Z13" i="225"/>
  <c r="Z17" i="225"/>
  <c r="Z14" i="225"/>
  <c r="Z22" i="225"/>
  <c r="Z18" i="225"/>
  <c r="AB16" i="225"/>
  <c r="AB15" i="225"/>
  <c r="AB13" i="225"/>
  <c r="AB24" i="225"/>
  <c r="AB14" i="225"/>
  <c r="AB12" i="225"/>
  <c r="AB23" i="225"/>
  <c r="AB21" i="225"/>
  <c r="AB17" i="225"/>
  <c r="AB18" i="225"/>
  <c r="AB22" i="225"/>
  <c r="AB19" i="225"/>
  <c r="AB20" i="225"/>
  <c r="AB11" i="225"/>
  <c r="AD25" i="225"/>
  <c r="AE25" i="225" s="1"/>
  <c r="Z20" i="225"/>
  <c r="Z11" i="225"/>
  <c r="Z21" i="225"/>
  <c r="Z12" i="225"/>
  <c r="Z24" i="225"/>
  <c r="Z23" i="225"/>
  <c r="Z15" i="225"/>
  <c r="Z19" i="225"/>
  <c r="Z16" i="225"/>
  <c r="Q25" i="128"/>
  <c r="P25" i="128"/>
  <c r="O25" i="128"/>
  <c r="N25" i="128"/>
  <c r="AD24" i="225" l="1"/>
  <c r="AE24" i="225" s="1"/>
  <c r="AD23" i="225"/>
  <c r="AE23" i="225" s="1"/>
  <c r="AD15" i="225"/>
  <c r="AE15" i="225" s="1"/>
  <c r="AD16" i="225"/>
  <c r="AE16" i="225" s="1"/>
  <c r="AD20" i="225"/>
  <c r="AE20" i="225" s="1"/>
  <c r="AD11" i="225"/>
  <c r="AE11" i="225" s="1"/>
  <c r="AD18" i="225"/>
  <c r="AE18" i="225" s="1"/>
  <c r="AD13" i="225"/>
  <c r="AE13" i="225" s="1"/>
  <c r="AD12" i="225"/>
  <c r="AE12" i="225" s="1"/>
  <c r="AD21" i="225"/>
  <c r="AE21" i="225" s="1"/>
  <c r="AD14" i="225"/>
  <c r="AE14" i="225" s="1"/>
  <c r="AD17" i="225"/>
  <c r="AE17" i="225" s="1"/>
  <c r="AD19" i="225"/>
  <c r="AE19" i="225" s="1"/>
  <c r="AD22" i="225"/>
  <c r="AE22" i="225" s="1"/>
  <c r="R25" i="128"/>
  <c r="S25" i="128" s="1"/>
  <c r="Q26" i="136" l="1"/>
  <c r="P26" i="136"/>
  <c r="O26" i="136"/>
  <c r="N26" i="136"/>
  <c r="Q25" i="136"/>
  <c r="P25" i="136"/>
  <c r="O25" i="136"/>
  <c r="N25" i="136"/>
  <c r="Q24" i="136"/>
  <c r="P24" i="136"/>
  <c r="O24" i="136"/>
  <c r="N24" i="136"/>
  <c r="Q23" i="136"/>
  <c r="P23" i="136"/>
  <c r="O23" i="136"/>
  <c r="N23" i="136"/>
  <c r="Q22" i="136"/>
  <c r="P22" i="136"/>
  <c r="O22" i="136"/>
  <c r="N22" i="136"/>
  <c r="Q21" i="136"/>
  <c r="P21" i="136"/>
  <c r="R21" i="136" s="1"/>
  <c r="S21" i="136" s="1"/>
  <c r="O21" i="136"/>
  <c r="N21" i="136"/>
  <c r="Q20" i="136"/>
  <c r="P20" i="136"/>
  <c r="R20" i="136" s="1"/>
  <c r="S20" i="136" s="1"/>
  <c r="O20" i="136"/>
  <c r="N20" i="136"/>
  <c r="Q19" i="136"/>
  <c r="P19" i="136"/>
  <c r="O19" i="136"/>
  <c r="N19" i="136"/>
  <c r="Q18" i="136"/>
  <c r="P18" i="136"/>
  <c r="O18" i="136"/>
  <c r="N18" i="136"/>
  <c r="Q17" i="136"/>
  <c r="P17" i="136"/>
  <c r="O17" i="136"/>
  <c r="N17" i="136"/>
  <c r="Q16" i="136"/>
  <c r="P16" i="136"/>
  <c r="O16" i="136"/>
  <c r="N16" i="136"/>
  <c r="Q15" i="136"/>
  <c r="P15" i="136"/>
  <c r="O15" i="136"/>
  <c r="N15" i="136"/>
  <c r="Q14" i="136"/>
  <c r="P14" i="136"/>
  <c r="O14" i="136"/>
  <c r="N14" i="136"/>
  <c r="Q13" i="136"/>
  <c r="P13" i="136"/>
  <c r="O13" i="136"/>
  <c r="N13" i="136"/>
  <c r="R13" i="136" l="1"/>
  <c r="S13" i="136" s="1"/>
  <c r="R17" i="136"/>
  <c r="S17" i="136" s="1"/>
  <c r="R19" i="136"/>
  <c r="S19" i="136" s="1"/>
  <c r="R25" i="136"/>
  <c r="S25" i="136" s="1"/>
  <c r="R24" i="136"/>
  <c r="S24" i="136" s="1"/>
  <c r="R16" i="136"/>
  <c r="S16" i="136" s="1"/>
  <c r="R22" i="136"/>
  <c r="S22" i="136" s="1"/>
  <c r="R14" i="136"/>
  <c r="S14" i="136" s="1"/>
  <c r="R23" i="136"/>
  <c r="S23" i="136" s="1"/>
  <c r="R26" i="136"/>
  <c r="S26" i="136" s="1"/>
  <c r="R15" i="136"/>
  <c r="S15" i="136" s="1"/>
  <c r="R18" i="136"/>
  <c r="S18" i="136" s="1"/>
  <c r="Q24" i="128" l="1"/>
  <c r="P24" i="128"/>
  <c r="O24" i="128"/>
  <c r="N24" i="128"/>
  <c r="Q23" i="128"/>
  <c r="P23" i="128"/>
  <c r="O23" i="128"/>
  <c r="N23" i="128"/>
  <c r="Q22" i="128"/>
  <c r="P22" i="128"/>
  <c r="O22" i="128"/>
  <c r="N22" i="128"/>
  <c r="Q21" i="128"/>
  <c r="P21" i="128"/>
  <c r="O21" i="128"/>
  <c r="N21" i="128"/>
  <c r="Q20" i="128"/>
  <c r="P20" i="128"/>
  <c r="O20" i="128"/>
  <c r="N20" i="128"/>
  <c r="Q19" i="128"/>
  <c r="P19" i="128"/>
  <c r="O19" i="128"/>
  <c r="N19" i="128"/>
  <c r="Q18" i="128"/>
  <c r="P18" i="128"/>
  <c r="O18" i="128"/>
  <c r="N18" i="128"/>
  <c r="Q17" i="128"/>
  <c r="P17" i="128"/>
  <c r="O17" i="128"/>
  <c r="N17" i="128"/>
  <c r="Q16" i="128"/>
  <c r="P16" i="128"/>
  <c r="O16" i="128"/>
  <c r="N16" i="128"/>
  <c r="Q15" i="128"/>
  <c r="P15" i="128"/>
  <c r="O15" i="128"/>
  <c r="N15" i="128"/>
  <c r="Q14" i="128"/>
  <c r="P14" i="128"/>
  <c r="O14" i="128"/>
  <c r="N14" i="128"/>
  <c r="Q13" i="128"/>
  <c r="P13" i="128"/>
  <c r="O13" i="128"/>
  <c r="N13" i="128"/>
  <c r="R20" i="128" l="1"/>
  <c r="S20" i="128" s="1"/>
  <c r="R22" i="128"/>
  <c r="S22" i="128" s="1"/>
  <c r="R16" i="128"/>
  <c r="S16" i="128" s="1"/>
  <c r="R14" i="128"/>
  <c r="S14" i="128" s="1"/>
  <c r="R13" i="128"/>
  <c r="S13" i="128" s="1"/>
  <c r="R17" i="128"/>
  <c r="S17" i="128" s="1"/>
  <c r="R15" i="128"/>
  <c r="S15" i="128" s="1"/>
  <c r="R18" i="128"/>
  <c r="S18" i="128" s="1"/>
  <c r="R24" i="128"/>
  <c r="S24" i="128" s="1"/>
  <c r="R19" i="128"/>
  <c r="S19" i="128" s="1"/>
  <c r="R23" i="128"/>
  <c r="S23" i="128" s="1"/>
  <c r="R21" i="128"/>
  <c r="S21" i="128" s="1"/>
  <c r="N24" i="108" l="1"/>
  <c r="R23" i="108"/>
  <c r="Q23" i="108"/>
  <c r="P23" i="108"/>
  <c r="O23" i="108"/>
  <c r="U23" i="108" s="1"/>
  <c r="V23" i="108" s="1"/>
  <c r="N23" i="108"/>
  <c r="R22" i="108"/>
  <c r="Q22" i="108"/>
  <c r="P22" i="108"/>
  <c r="O22" i="108"/>
  <c r="U22" i="108" s="1"/>
  <c r="V22" i="108" s="1"/>
  <c r="N22" i="108"/>
  <c r="R21" i="108"/>
  <c r="Q21" i="108"/>
  <c r="P21" i="108"/>
  <c r="O21" i="108"/>
  <c r="N21" i="108"/>
  <c r="R20" i="108"/>
  <c r="Q20" i="108"/>
  <c r="P20" i="108"/>
  <c r="O20" i="108"/>
  <c r="U20" i="108" s="1"/>
  <c r="V20" i="108" s="1"/>
  <c r="N20" i="108"/>
  <c r="R19" i="108"/>
  <c r="Q19" i="108"/>
  <c r="P19" i="108"/>
  <c r="O19" i="108"/>
  <c r="N19" i="108"/>
  <c r="R18" i="108"/>
  <c r="Q18" i="108"/>
  <c r="P18" i="108"/>
  <c r="O18" i="108"/>
  <c r="N18" i="108"/>
  <c r="R17" i="108"/>
  <c r="Q17" i="108"/>
  <c r="P17" i="108"/>
  <c r="O17" i="108"/>
  <c r="N17" i="108"/>
  <c r="R16" i="108"/>
  <c r="Q16" i="108"/>
  <c r="P16" i="108"/>
  <c r="O16" i="108"/>
  <c r="N16" i="108"/>
  <c r="R15" i="108"/>
  <c r="Q15" i="108"/>
  <c r="P15" i="108"/>
  <c r="O15" i="108"/>
  <c r="U15" i="108" s="1"/>
  <c r="V15" i="108" s="1"/>
  <c r="N15" i="108"/>
  <c r="R14" i="108"/>
  <c r="Q14" i="108"/>
  <c r="P14" i="108"/>
  <c r="O14" i="108"/>
  <c r="N14" i="108"/>
  <c r="R13" i="108"/>
  <c r="Q13" i="108"/>
  <c r="P13" i="108"/>
  <c r="O13" i="108"/>
  <c r="N13" i="108"/>
  <c r="U21" i="108" l="1"/>
  <c r="V21" i="108" s="1"/>
  <c r="U19" i="108"/>
  <c r="V19" i="108" s="1"/>
  <c r="U16" i="108"/>
  <c r="V16" i="108" s="1"/>
  <c r="U13" i="108"/>
  <c r="V13" i="108" s="1"/>
  <c r="U17" i="108"/>
  <c r="V17" i="108" s="1"/>
  <c r="U14" i="108"/>
  <c r="V14" i="108" s="1"/>
  <c r="U18" i="108"/>
  <c r="V18" i="108" s="1"/>
  <c r="N24" i="102"/>
  <c r="R23" i="102"/>
  <c r="Q23" i="102"/>
  <c r="P23" i="102"/>
  <c r="O23" i="102"/>
  <c r="U23" i="102" s="1"/>
  <c r="V23" i="102" s="1"/>
  <c r="N23" i="102"/>
  <c r="R22" i="102"/>
  <c r="Q22" i="102"/>
  <c r="P22" i="102"/>
  <c r="O22" i="102"/>
  <c r="U22" i="102" s="1"/>
  <c r="V22" i="102" s="1"/>
  <c r="N22" i="102"/>
  <c r="R21" i="102"/>
  <c r="Q21" i="102"/>
  <c r="P21" i="102"/>
  <c r="O21" i="102"/>
  <c r="U21" i="102" s="1"/>
  <c r="V21" i="102" s="1"/>
  <c r="N21" i="102"/>
  <c r="R20" i="102"/>
  <c r="Q20" i="102"/>
  <c r="P20" i="102"/>
  <c r="O20" i="102"/>
  <c r="N20" i="102"/>
  <c r="R19" i="102"/>
  <c r="Q19" i="102"/>
  <c r="P19" i="102"/>
  <c r="O19" i="102"/>
  <c r="N19" i="102"/>
  <c r="R18" i="102"/>
  <c r="Q18" i="102"/>
  <c r="P18" i="102"/>
  <c r="O18" i="102"/>
  <c r="N18" i="102"/>
  <c r="R17" i="102"/>
  <c r="Q17" i="102"/>
  <c r="P17" i="102"/>
  <c r="O17" i="102"/>
  <c r="U17" i="102" s="1"/>
  <c r="V17" i="102" s="1"/>
  <c r="N17" i="102"/>
  <c r="R16" i="102"/>
  <c r="Q16" i="102"/>
  <c r="P16" i="102"/>
  <c r="O16" i="102"/>
  <c r="U16" i="102" s="1"/>
  <c r="V16" i="102" s="1"/>
  <c r="N16" i="102"/>
  <c r="R15" i="102"/>
  <c r="Q15" i="102"/>
  <c r="P15" i="102"/>
  <c r="O15" i="102"/>
  <c r="N15" i="102"/>
  <c r="R14" i="102"/>
  <c r="Q14" i="102"/>
  <c r="P14" i="102"/>
  <c r="O14" i="102"/>
  <c r="U14" i="102" s="1"/>
  <c r="V14" i="102" s="1"/>
  <c r="N14" i="102"/>
  <c r="R13" i="102"/>
  <c r="Q13" i="102"/>
  <c r="P13" i="102"/>
  <c r="O13" i="102"/>
  <c r="N13" i="102"/>
  <c r="U19" i="102" l="1"/>
  <c r="V19" i="102" s="1"/>
  <c r="U15" i="102"/>
  <c r="V15" i="102" s="1"/>
  <c r="U20" i="102"/>
  <c r="V20" i="102" s="1"/>
  <c r="U13" i="102"/>
  <c r="V13" i="102" s="1"/>
  <c r="U18" i="102"/>
  <c r="V18" i="102" s="1"/>
  <c r="R24" i="94"/>
  <c r="Q24" i="94"/>
  <c r="P24" i="94"/>
  <c r="O24" i="94"/>
  <c r="R18" i="94"/>
  <c r="Q18" i="94"/>
  <c r="P18" i="94"/>
  <c r="O18" i="94"/>
  <c r="N24" i="94"/>
  <c r="N20" i="94"/>
  <c r="N18" i="94"/>
  <c r="R23" i="94"/>
  <c r="Q23" i="94"/>
  <c r="P23" i="94"/>
  <c r="O23" i="94"/>
  <c r="N23" i="94"/>
  <c r="R22" i="94"/>
  <c r="Q22" i="94"/>
  <c r="P22" i="94"/>
  <c r="O22" i="94"/>
  <c r="N22" i="94"/>
  <c r="R21" i="94"/>
  <c r="Q21" i="94"/>
  <c r="P21" i="94"/>
  <c r="O21" i="94"/>
  <c r="N21" i="94"/>
  <c r="R20" i="94"/>
  <c r="Q20" i="94"/>
  <c r="P20" i="94"/>
  <c r="O20" i="94"/>
  <c r="R19" i="94"/>
  <c r="Q19" i="94"/>
  <c r="P19" i="94"/>
  <c r="O19" i="94"/>
  <c r="N19" i="94"/>
  <c r="R17" i="94"/>
  <c r="Q17" i="94"/>
  <c r="P17" i="94"/>
  <c r="O17" i="94"/>
  <c r="U17" i="94" s="1"/>
  <c r="V17" i="94" s="1"/>
  <c r="N17" i="94"/>
  <c r="R16" i="94"/>
  <c r="Q16" i="94"/>
  <c r="P16" i="94"/>
  <c r="O16" i="94"/>
  <c r="N16" i="94"/>
  <c r="R15" i="94"/>
  <c r="Q15" i="94"/>
  <c r="P15" i="94"/>
  <c r="O15" i="94"/>
  <c r="U15" i="94" s="1"/>
  <c r="V15" i="94" s="1"/>
  <c r="N15" i="94"/>
  <c r="R14" i="94"/>
  <c r="Q14" i="94"/>
  <c r="P14" i="94"/>
  <c r="O14" i="94"/>
  <c r="U14" i="94" s="1"/>
  <c r="V14" i="94" s="1"/>
  <c r="N14" i="94"/>
  <c r="R13" i="94"/>
  <c r="Q13" i="94"/>
  <c r="P13" i="94"/>
  <c r="O13" i="94"/>
  <c r="N13" i="94"/>
  <c r="U13" i="94" l="1"/>
  <c r="V13" i="94" s="1"/>
  <c r="U16" i="94"/>
  <c r="V16" i="94" s="1"/>
  <c r="U24" i="94"/>
  <c r="V24" i="94" s="1"/>
  <c r="U18" i="94"/>
  <c r="V18" i="94" s="1"/>
  <c r="U20" i="94"/>
  <c r="V20" i="94" s="1"/>
  <c r="U21" i="94"/>
  <c r="V21" i="94" s="1"/>
  <c r="U22" i="94"/>
  <c r="V22" i="94" s="1"/>
  <c r="U19" i="94"/>
  <c r="V19" i="94" s="1"/>
  <c r="U23" i="94"/>
  <c r="V23" i="9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<sst xmlns="http://schemas.openxmlformats.org/spreadsheetml/2006/main" count="3906" uniqueCount="156">
  <si>
    <t>C</t>
  </si>
  <si>
    <t>B</t>
  </si>
  <si>
    <t>Brancão</t>
  </si>
  <si>
    <t>G</t>
  </si>
  <si>
    <t>I</t>
  </si>
  <si>
    <t>Allan</t>
  </si>
  <si>
    <t>K</t>
  </si>
  <si>
    <t>Stephanie</t>
  </si>
  <si>
    <t>E</t>
  </si>
  <si>
    <t>Eduardo</t>
  </si>
  <si>
    <t>H</t>
  </si>
  <si>
    <t>Marco</t>
  </si>
  <si>
    <t>F</t>
  </si>
  <si>
    <t>Rodrigo</t>
  </si>
  <si>
    <t>FOLGA</t>
  </si>
  <si>
    <t>0h</t>
  </si>
  <si>
    <t>6h</t>
  </si>
  <si>
    <t>12h</t>
  </si>
  <si>
    <t>18h</t>
  </si>
  <si>
    <t>FÉRIAS</t>
  </si>
  <si>
    <t>B.Selayaran</t>
  </si>
  <si>
    <t>B.Hornes</t>
  </si>
  <si>
    <t>OPERADOR</t>
  </si>
  <si>
    <t>AUXILIAR</t>
  </si>
  <si>
    <t>SUPERVISOR</t>
  </si>
  <si>
    <t>B.Machado</t>
  </si>
  <si>
    <t>A</t>
  </si>
  <si>
    <t>D</t>
  </si>
  <si>
    <t>J</t>
  </si>
  <si>
    <t>00:00 X 06:00</t>
  </si>
  <si>
    <t>06:00X 12:00</t>
  </si>
  <si>
    <t>12:00 X 18:00</t>
  </si>
  <si>
    <t>PRÁTICOS DA BARRA DO RIO GRANDE LTDA</t>
  </si>
  <si>
    <t>DATA</t>
  </si>
  <si>
    <t>ESCALA DE SERVIÇO - TORRE</t>
  </si>
  <si>
    <t>00H</t>
  </si>
  <si>
    <t>06H</t>
  </si>
  <si>
    <t>12H</t>
  </si>
  <si>
    <t>18H</t>
  </si>
  <si>
    <t>OUTUBRO</t>
  </si>
  <si>
    <t>18:00 X 23:59</t>
  </si>
  <si>
    <t>nome</t>
  </si>
  <si>
    <t>DIAS</t>
  </si>
  <si>
    <t>NOME</t>
  </si>
  <si>
    <t>ID</t>
  </si>
  <si>
    <t>B.HORNES</t>
  </si>
  <si>
    <t>EDUARDO</t>
  </si>
  <si>
    <t>ALLAN</t>
  </si>
  <si>
    <t>MARCO</t>
  </si>
  <si>
    <t>RODRIGO</t>
  </si>
  <si>
    <t>B.MACHADO</t>
  </si>
  <si>
    <t>BRANCÃO</t>
  </si>
  <si>
    <t>B.SELAYARAN</t>
  </si>
  <si>
    <t>00h x 06h</t>
  </si>
  <si>
    <t>06h x 12h</t>
  </si>
  <si>
    <t>12h x 18h</t>
  </si>
  <si>
    <t>18h x 00h</t>
  </si>
  <si>
    <t>Dias</t>
  </si>
  <si>
    <t>Folga</t>
  </si>
  <si>
    <t>L</t>
  </si>
  <si>
    <t>Mês com 31 dias / se for 30, alterar soma</t>
  </si>
  <si>
    <t>SUP</t>
  </si>
  <si>
    <t>X</t>
  </si>
  <si>
    <t>Z</t>
  </si>
  <si>
    <t>TONINHO</t>
  </si>
  <si>
    <t>CLEITON</t>
  </si>
  <si>
    <t>Y</t>
  </si>
  <si>
    <t>THAIS</t>
  </si>
  <si>
    <t>-</t>
  </si>
  <si>
    <t>Flavia</t>
  </si>
  <si>
    <t>Thais</t>
  </si>
  <si>
    <t>Bernardo</t>
  </si>
  <si>
    <t>2 Grupos de trabalho com 6 funcionários cada</t>
  </si>
  <si>
    <t>Escala 4x2 fechou</t>
  </si>
  <si>
    <t>ESCALA PARA SER USADA QUANDO APENAS UM LADO ESTIVER COM 4X2</t>
  </si>
  <si>
    <t>ESCALA PARA SER USADA QUANDO OS PLANTÕES ESTIVEREM COM 4X1</t>
  </si>
  <si>
    <t>B/C/D/E/F</t>
  </si>
  <si>
    <t>C/E/F</t>
  </si>
  <si>
    <r>
      <t>C/</t>
    </r>
    <r>
      <rPr>
        <sz val="11"/>
        <color rgb="FFFF0000"/>
        <rFont val="Arial"/>
        <family val="2"/>
      </rPr>
      <t>E</t>
    </r>
    <r>
      <rPr>
        <sz val="11"/>
        <color theme="1"/>
        <rFont val="Arial"/>
        <family val="2"/>
      </rPr>
      <t>/F</t>
    </r>
  </si>
  <si>
    <r>
      <rPr>
        <sz val="11"/>
        <color rgb="FFFF0000"/>
        <rFont val="Arial"/>
        <family val="2"/>
      </rPr>
      <t>A</t>
    </r>
    <r>
      <rPr>
        <sz val="11"/>
        <color theme="1"/>
        <rFont val="Arial"/>
        <family val="2"/>
      </rPr>
      <t>/C/E/F</t>
    </r>
  </si>
  <si>
    <t>A/C/D/E/F</t>
  </si>
  <si>
    <t>A/B/D/E/F</t>
  </si>
  <si>
    <r>
      <rPr>
        <sz val="11"/>
        <color rgb="FFFF0000"/>
        <rFont val="Arial"/>
        <family val="2"/>
      </rPr>
      <t>B/E</t>
    </r>
    <r>
      <rPr>
        <sz val="11"/>
        <color theme="1"/>
        <rFont val="Arial"/>
        <family val="2"/>
      </rPr>
      <t>/F</t>
    </r>
  </si>
  <si>
    <r>
      <rPr>
        <sz val="11"/>
        <color rgb="FFFF0000"/>
        <rFont val="Arial"/>
        <family val="2"/>
      </rPr>
      <t>A</t>
    </r>
    <r>
      <rPr>
        <sz val="11"/>
        <color theme="1"/>
        <rFont val="Arial"/>
        <family val="2"/>
      </rPr>
      <t>/B/</t>
    </r>
    <r>
      <rPr>
        <sz val="11"/>
        <color rgb="FFFF0000"/>
        <rFont val="Arial"/>
        <family val="2"/>
      </rPr>
      <t>D</t>
    </r>
    <r>
      <rPr>
        <sz val="11"/>
        <color theme="1"/>
        <rFont val="Arial"/>
        <family val="2"/>
      </rPr>
      <t>/E/F</t>
    </r>
  </si>
  <si>
    <t>A/B/C/E/F</t>
  </si>
  <si>
    <r>
      <rPr>
        <sz val="11"/>
        <color rgb="FFFF0000"/>
        <rFont val="Arial"/>
        <family val="2"/>
      </rPr>
      <t>B</t>
    </r>
    <r>
      <rPr>
        <sz val="11"/>
        <color theme="1"/>
        <rFont val="Arial"/>
        <family val="2"/>
      </rPr>
      <t>/C/E/F</t>
    </r>
  </si>
  <si>
    <r>
      <rPr>
        <sz val="11"/>
        <color rgb="FFFF0000"/>
        <rFont val="Arial"/>
        <family val="2"/>
      </rPr>
      <t>A</t>
    </r>
    <r>
      <rPr>
        <sz val="11"/>
        <color theme="1"/>
        <rFont val="Arial"/>
        <family val="2"/>
      </rPr>
      <t>/B/C/</t>
    </r>
    <r>
      <rPr>
        <sz val="11"/>
        <color rgb="FFFF0000"/>
        <rFont val="Arial"/>
        <family val="2"/>
      </rPr>
      <t>D</t>
    </r>
    <r>
      <rPr>
        <sz val="11"/>
        <color theme="1"/>
        <rFont val="Arial"/>
        <family val="2"/>
      </rPr>
      <t>/F</t>
    </r>
  </si>
  <si>
    <t>A/B/C/D/F</t>
  </si>
  <si>
    <t>A/B/C/D/E</t>
  </si>
  <si>
    <r>
      <t>C/</t>
    </r>
    <r>
      <rPr>
        <sz val="11"/>
        <color rgb="FFFF0000"/>
        <rFont val="Arial"/>
        <family val="2"/>
      </rPr>
      <t>E</t>
    </r>
  </si>
  <si>
    <r>
      <rPr>
        <sz val="11"/>
        <color rgb="FFFF0000"/>
        <rFont val="Arial"/>
        <family val="2"/>
      </rPr>
      <t>A</t>
    </r>
    <r>
      <rPr>
        <sz val="11"/>
        <color theme="1"/>
        <rFont val="Arial"/>
        <family val="2"/>
      </rPr>
      <t>/C/</t>
    </r>
    <r>
      <rPr>
        <sz val="11"/>
        <color rgb="FFFF0000"/>
        <rFont val="Arial"/>
        <family val="2"/>
      </rPr>
      <t>D</t>
    </r>
    <r>
      <rPr>
        <sz val="11"/>
        <color theme="1"/>
        <rFont val="Arial"/>
        <family val="2"/>
      </rPr>
      <t>/E</t>
    </r>
  </si>
  <si>
    <t>SEGUIRÃO NA MESMA ORDEM</t>
  </si>
  <si>
    <t>02 P/ CIMA</t>
  </si>
  <si>
    <t>03 P/ CIMA</t>
  </si>
  <si>
    <t>01 P/ CIMA</t>
  </si>
  <si>
    <t>M</t>
  </si>
  <si>
    <t>FELIPE</t>
  </si>
  <si>
    <t>MÊS</t>
  </si>
  <si>
    <t>ver última linha que acabou no mês anterior, e seguir completando "manual"</t>
  </si>
  <si>
    <t>N</t>
  </si>
  <si>
    <t>RICHER</t>
  </si>
  <si>
    <t>SITUAÇÃO PARA TROCA DE MÊS COM FINAL E INÍCIO 4X3</t>
  </si>
  <si>
    <r>
      <t>C/E</t>
    </r>
    <r>
      <rPr>
        <sz val="11"/>
        <color theme="1"/>
        <rFont val="Arial"/>
        <family val="2"/>
      </rPr>
      <t>/G</t>
    </r>
  </si>
  <si>
    <t>C/E/G</t>
  </si>
  <si>
    <t>B/C/D/E/F/G</t>
  </si>
  <si>
    <t>A/C/D/E/F/G</t>
  </si>
  <si>
    <r>
      <t>B/D/E/</t>
    </r>
    <r>
      <rPr>
        <sz val="11"/>
        <color rgb="FFFF0000"/>
        <rFont val="Arial"/>
        <family val="2"/>
      </rPr>
      <t>F</t>
    </r>
    <r>
      <rPr>
        <sz val="11"/>
        <color theme="1"/>
        <rFont val="Arial"/>
        <family val="2"/>
      </rPr>
      <t>/G</t>
    </r>
  </si>
  <si>
    <t>B/D/E/F/G</t>
  </si>
  <si>
    <t>A/B/D/E/F/G</t>
  </si>
  <si>
    <t>A/B/C/E/F/G</t>
  </si>
  <si>
    <t>B/C/E/G</t>
  </si>
  <si>
    <r>
      <t>C/</t>
    </r>
    <r>
      <rPr>
        <sz val="11"/>
        <color rgb="FFFF0000"/>
        <rFont val="Arial"/>
        <family val="2"/>
      </rPr>
      <t>D</t>
    </r>
    <r>
      <rPr>
        <sz val="11"/>
        <color theme="1"/>
        <rFont val="Arial"/>
        <family val="2"/>
      </rPr>
      <t>/G</t>
    </r>
  </si>
  <si>
    <t>A/B/C/D/F/G</t>
  </si>
  <si>
    <r>
      <t>C/</t>
    </r>
    <r>
      <rPr>
        <sz val="11"/>
        <color rgb="FFFF0000"/>
        <rFont val="Arial"/>
        <family val="2"/>
      </rPr>
      <t>D</t>
    </r>
    <r>
      <rPr>
        <sz val="11"/>
        <color theme="1"/>
        <rFont val="Arial"/>
        <family val="2"/>
      </rPr>
      <t>/E/G</t>
    </r>
  </si>
  <si>
    <r>
      <t>A/C/</t>
    </r>
    <r>
      <rPr>
        <sz val="11"/>
        <color rgb="FFFF0000"/>
        <rFont val="Arial"/>
        <family val="2"/>
      </rPr>
      <t>D</t>
    </r>
    <r>
      <rPr>
        <sz val="11"/>
        <color theme="1"/>
        <rFont val="Arial"/>
        <family val="2"/>
      </rPr>
      <t>/E/G</t>
    </r>
  </si>
  <si>
    <t>A/B/C/D/E/F</t>
  </si>
  <si>
    <t>C/E</t>
  </si>
  <si>
    <t>OPERADORES NÃO TROCAM LETRA / SEGUEM A MESMA ORDEM</t>
  </si>
  <si>
    <t>SITUAÇÃO PARA TROCA DE MÊS COM FINAL 4X3 E INÍCIO 4X2</t>
  </si>
  <si>
    <t>C/F</t>
  </si>
  <si>
    <r>
      <rPr>
        <sz val="11"/>
        <color rgb="FFFF0000"/>
        <rFont val="Arial"/>
        <family val="2"/>
      </rPr>
      <t>A/B/D/E/</t>
    </r>
    <r>
      <rPr>
        <sz val="11"/>
        <color theme="1"/>
        <rFont val="Arial"/>
        <family val="2"/>
      </rPr>
      <t>F</t>
    </r>
  </si>
  <si>
    <r>
      <t>A/B/</t>
    </r>
    <r>
      <rPr>
        <sz val="11"/>
        <color rgb="FFFF0000"/>
        <rFont val="Arial"/>
        <family val="2"/>
      </rPr>
      <t>D</t>
    </r>
    <r>
      <rPr>
        <sz val="11"/>
        <color theme="1"/>
        <rFont val="Arial"/>
        <family val="2"/>
      </rPr>
      <t>/E/F</t>
    </r>
  </si>
  <si>
    <t>A/C/E/F</t>
  </si>
  <si>
    <r>
      <rPr>
        <sz val="11"/>
        <color rgb="FFFF0000"/>
        <rFont val="Arial"/>
        <family val="2"/>
      </rPr>
      <t>A/B</t>
    </r>
    <r>
      <rPr>
        <sz val="11"/>
        <color theme="1"/>
        <rFont val="Arial"/>
        <family val="2"/>
      </rPr>
      <t>/C/E/F</t>
    </r>
  </si>
  <si>
    <t>A/C/E</t>
  </si>
  <si>
    <t>LEGENDA:</t>
  </si>
  <si>
    <t>TROCA</t>
  </si>
  <si>
    <t>ATESTADO</t>
  </si>
  <si>
    <t>FALTA</t>
  </si>
  <si>
    <r>
      <rPr>
        <sz val="11"/>
        <color rgb="FFFF0000"/>
        <rFont val="Arial"/>
        <family val="2"/>
      </rPr>
      <t>B</t>
    </r>
    <r>
      <rPr>
        <sz val="11"/>
        <color theme="1"/>
        <rFont val="Arial"/>
        <family val="2"/>
      </rPr>
      <t>/C/</t>
    </r>
    <r>
      <rPr>
        <sz val="11"/>
        <color rgb="FFFF0000"/>
        <rFont val="Arial"/>
        <family val="2"/>
      </rPr>
      <t>D</t>
    </r>
    <r>
      <rPr>
        <sz val="11"/>
        <color theme="1"/>
        <rFont val="Arial"/>
        <family val="2"/>
      </rPr>
      <t>/</t>
    </r>
    <r>
      <rPr>
        <sz val="11"/>
        <color rgb="FFFF0000"/>
        <rFont val="Arial"/>
        <family val="2"/>
      </rPr>
      <t>E</t>
    </r>
    <r>
      <rPr>
        <sz val="11"/>
        <color theme="1"/>
        <rFont val="Arial"/>
        <family val="2"/>
      </rPr>
      <t>/F</t>
    </r>
  </si>
  <si>
    <r>
      <rPr>
        <sz val="11"/>
        <color rgb="FFFF0000"/>
        <rFont val="Arial"/>
        <family val="2"/>
      </rPr>
      <t>A</t>
    </r>
    <r>
      <rPr>
        <sz val="11"/>
        <color theme="1"/>
        <rFont val="Arial"/>
        <family val="2"/>
      </rPr>
      <t>/C/</t>
    </r>
    <r>
      <rPr>
        <sz val="11"/>
        <color rgb="FFFF0000"/>
        <rFont val="Arial"/>
        <family val="2"/>
      </rPr>
      <t>E</t>
    </r>
    <r>
      <rPr>
        <sz val="11"/>
        <color theme="1"/>
        <rFont val="Arial"/>
        <family val="2"/>
      </rPr>
      <t>/F</t>
    </r>
  </si>
  <si>
    <r>
      <rPr>
        <sz val="11"/>
        <rFont val="Arial"/>
        <family val="2"/>
      </rPr>
      <t>A</t>
    </r>
    <r>
      <rPr>
        <sz val="11"/>
        <color rgb="FFFF0000"/>
        <rFont val="Arial"/>
        <family val="2"/>
      </rPr>
      <t>/B</t>
    </r>
    <r>
      <rPr>
        <sz val="11"/>
        <color theme="1"/>
        <rFont val="Arial"/>
        <family val="2"/>
      </rPr>
      <t>/C/D/F</t>
    </r>
  </si>
  <si>
    <t>VITORIA</t>
  </si>
  <si>
    <t>GUILHERME</t>
  </si>
  <si>
    <t>FEVEREIRO/2026</t>
  </si>
  <si>
    <t>f</t>
  </si>
  <si>
    <t>* 01/02 - Bruno Selayaran entra em férias (30 dias)</t>
  </si>
  <si>
    <t>* 03/02 - Richer entra em férias (20 dias)</t>
  </si>
  <si>
    <t>* 23/02 - Richer retorna de férias</t>
  </si>
  <si>
    <t>z</t>
  </si>
  <si>
    <t>x</t>
  </si>
  <si>
    <t>MARÇO/2026</t>
  </si>
  <si>
    <t xml:space="preserve"> </t>
  </si>
  <si>
    <t>QUINTA</t>
  </si>
  <si>
    <t>SEXTA</t>
  </si>
  <si>
    <t>SABADO</t>
  </si>
  <si>
    <t>QUARTA</t>
  </si>
  <si>
    <t>DOMINGO</t>
  </si>
  <si>
    <t>SEGUNDA</t>
  </si>
  <si>
    <t>TERÇA</t>
  </si>
  <si>
    <t>ABRIL/2026</t>
  </si>
  <si>
    <t>* 01/01 - Allan em férias (30 dias)</t>
  </si>
  <si>
    <t>* 21/01 - Brancão em férias ( 20 dias )</t>
  </si>
  <si>
    <t>* 01/03 - B. Hornes em férias (30 dias)</t>
  </si>
  <si>
    <t>* 03/03 - B. Selayaran retorna de férias</t>
  </si>
  <si>
    <t>* 31/03 - B. Hornes retorna de férias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</si>
</sst>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dddd&quot;, &quot;mmmm&quot; &quot;dd&quot;, &quot;yyyy"/>
  </numFmts>
  <fonts count="3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1"/>
      <color rgb="FF0070C0"/>
      <name val="Arial"/>
      <family val="2"/>
    </font>
    <font>
      <sz val="11"/>
      <color rgb="FFFF0000"/>
      <name val="Arial"/>
      <family val="2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8"/>
      <name val="Arial"/>
      <family val="2"/>
    </font>
    <font>
      <b/>
      <sz val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C000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Border="0" applyProtection="0"/>
    <xf numFmtId="0" fontId="2" fillId="0" borderId="0" applyNumberFormat="0" applyBorder="0" applyProtection="0"/>
    <xf numFmtId="0" fontId="28" fillId="0" borderId="0"/>
  </cellStyleXfs>
  <cellXfs count="222">
    <xf numFmtId="0" fontId="0" fillId="0" borderId="0" xfId="0"/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center"/>
    </xf>
    <xf numFmtId="0" fontId="3" fillId="3" borderId="1" xfId="2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7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12" fillId="0" borderId="21" xfId="0" applyFont="1" applyBorder="1" applyAlignment="1">
      <alignment horizontal="center" vertical="center"/>
    </xf>
    <xf numFmtId="0" fontId="11" fillId="0" borderId="20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13" fillId="2" borderId="0" xfId="0" applyFont="1" applyFill="1"/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14" fontId="10" fillId="0" borderId="5" xfId="0" applyNumberFormat="1" applyFont="1" applyBorder="1" applyAlignment="1">
      <alignment horizontal="center" vertical="center"/>
    </xf>
    <xf numFmtId="0" fontId="14" fillId="0" borderId="0" xfId="0" applyFont="1"/>
    <xf numFmtId="0" fontId="15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6" fillId="3" borderId="2" xfId="2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4" fillId="2" borderId="0" xfId="0" applyFont="1" applyFill="1"/>
    <xf numFmtId="0" fontId="18" fillId="2" borderId="0" xfId="0" applyFont="1" applyFill="1"/>
    <xf numFmtId="0" fontId="16" fillId="2" borderId="2" xfId="2" applyFont="1" applyFill="1" applyBorder="1" applyAlignment="1">
      <alignment horizontal="center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6" fillId="7" borderId="1" xfId="2" applyFont="1" applyFill="1" applyBorder="1" applyAlignment="1">
      <alignment horizontal="center"/>
    </xf>
    <xf numFmtId="0" fontId="16" fillId="7" borderId="1" xfId="2" applyNumberFormat="1" applyFont="1" applyFill="1" applyBorder="1" applyAlignment="1">
      <alignment horizontal="center"/>
    </xf>
    <xf numFmtId="0" fontId="3" fillId="7" borderId="1" xfId="2" applyFont="1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9" fillId="7" borderId="1" xfId="2" applyFont="1" applyFill="1" applyBorder="1" applyAlignment="1">
      <alignment horizontal="center"/>
    </xf>
    <xf numFmtId="0" fontId="4" fillId="7" borderId="1" xfId="0" applyFont="1" applyFill="1" applyBorder="1"/>
    <xf numFmtId="17" fontId="5" fillId="0" borderId="1" xfId="0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3" fillId="7" borderId="1" xfId="2" applyFont="1" applyFill="1" applyBorder="1" applyAlignment="1">
      <alignment horizontal="center"/>
    </xf>
    <xf numFmtId="0" fontId="18" fillId="7" borderId="1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/>
    </xf>
    <xf numFmtId="0" fontId="4" fillId="8" borderId="1" xfId="0" applyFont="1" applyFill="1" applyBorder="1"/>
    <xf numFmtId="0" fontId="4" fillId="8" borderId="1" xfId="0" applyFont="1" applyFill="1" applyBorder="1" applyAlignment="1">
      <alignment horizontal="center"/>
    </xf>
    <xf numFmtId="0" fontId="9" fillId="8" borderId="1" xfId="2" applyFont="1" applyFill="1" applyBorder="1" applyAlignment="1">
      <alignment horizontal="center"/>
    </xf>
    <xf numFmtId="0" fontId="16" fillId="8" borderId="1" xfId="0" applyFont="1" applyFill="1" applyBorder="1" applyAlignment="1">
      <alignment horizontal="center"/>
    </xf>
    <xf numFmtId="0" fontId="16" fillId="8" borderId="1" xfId="0" applyFont="1" applyFill="1" applyBorder="1"/>
    <xf numFmtId="0" fontId="16" fillId="8" borderId="1" xfId="2" applyNumberFormat="1" applyFont="1" applyFill="1" applyBorder="1" applyAlignment="1">
      <alignment horizontal="center"/>
    </xf>
    <xf numFmtId="0" fontId="16" fillId="8" borderId="1" xfId="2" applyFont="1" applyFill="1" applyBorder="1" applyAlignment="1">
      <alignment horizontal="center"/>
    </xf>
    <xf numFmtId="0" fontId="18" fillId="8" borderId="1" xfId="0" applyFont="1" applyFill="1" applyBorder="1"/>
    <xf numFmtId="0" fontId="18" fillId="5" borderId="1" xfId="0" applyFont="1" applyFill="1" applyBorder="1" applyAlignment="1">
      <alignment horizontal="center"/>
    </xf>
    <xf numFmtId="0" fontId="3" fillId="5" borderId="1" xfId="2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  <xf numFmtId="0" fontId="4" fillId="5" borderId="1" xfId="0" applyFont="1" applyFill="1" applyBorder="1"/>
    <xf numFmtId="0" fontId="9" fillId="5" borderId="1" xfId="2" applyFont="1" applyFill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7" fillId="8" borderId="1" xfId="1" applyFont="1" applyFill="1" applyBorder="1" applyAlignment="1">
      <alignment horizontal="center"/>
    </xf>
    <xf numFmtId="0" fontId="6" fillId="7" borderId="1" xfId="1" applyFont="1" applyFill="1" applyBorder="1" applyAlignment="1">
      <alignment horizontal="center"/>
    </xf>
    <xf numFmtId="14" fontId="3" fillId="2" borderId="1" xfId="2" applyNumberFormat="1" applyFont="1" applyFill="1" applyBorder="1" applyAlignment="1">
      <alignment horizontal="center"/>
    </xf>
    <xf numFmtId="164" fontId="3" fillId="4" borderId="1" xfId="2" applyNumberFormat="1" applyFont="1" applyFill="1" applyBorder="1" applyAlignment="1">
      <alignment horizontal="center"/>
    </xf>
    <xf numFmtId="14" fontId="3" fillId="6" borderId="1" xfId="2" applyNumberFormat="1" applyFont="1" applyFill="1" applyBorder="1" applyAlignment="1">
      <alignment horizontal="center"/>
    </xf>
    <xf numFmtId="0" fontId="7" fillId="2" borderId="1" xfId="2" applyFont="1" applyFill="1" applyBorder="1" applyAlignment="1">
      <alignment horizontal="center"/>
    </xf>
    <xf numFmtId="0" fontId="14" fillId="7" borderId="1" xfId="2" applyFont="1" applyFill="1" applyBorder="1" applyAlignment="1">
      <alignment horizontal="left"/>
    </xf>
    <xf numFmtId="0" fontId="16" fillId="5" borderId="1" xfId="0" applyFont="1" applyFill="1" applyBorder="1" applyAlignment="1">
      <alignment horizontal="center"/>
    </xf>
    <xf numFmtId="0" fontId="18" fillId="5" borderId="1" xfId="0" applyFont="1" applyFill="1" applyBorder="1"/>
    <xf numFmtId="0" fontId="14" fillId="5" borderId="1" xfId="0" applyFont="1" applyFill="1" applyBorder="1" applyAlignment="1">
      <alignment horizontal="center"/>
    </xf>
    <xf numFmtId="0" fontId="16" fillId="5" borderId="1" xfId="0" applyFont="1" applyFill="1" applyBorder="1"/>
    <xf numFmtId="0" fontId="14" fillId="8" borderId="1" xfId="2" applyFont="1" applyFill="1" applyBorder="1" applyAlignment="1">
      <alignment horizontal="left"/>
    </xf>
    <xf numFmtId="0" fontId="10" fillId="9" borderId="1" xfId="0" applyFont="1" applyFill="1" applyBorder="1" applyAlignment="1">
      <alignment horizontal="center"/>
    </xf>
    <xf numFmtId="0" fontId="14" fillId="9" borderId="1" xfId="2" applyFont="1" applyFill="1" applyBorder="1" applyAlignment="1">
      <alignment horizontal="left"/>
    </xf>
    <xf numFmtId="164" fontId="3" fillId="11" borderId="1" xfId="2" applyNumberFormat="1" applyFont="1" applyFill="1" applyBorder="1" applyAlignment="1">
      <alignment horizontal="center"/>
    </xf>
    <xf numFmtId="164" fontId="3" fillId="9" borderId="1" xfId="2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 vertical="center"/>
    </xf>
    <xf numFmtId="0" fontId="7" fillId="5" borderId="1" xfId="2" applyFont="1" applyFill="1" applyBorder="1" applyAlignment="1">
      <alignment horizontal="center"/>
    </xf>
    <xf numFmtId="164" fontId="3" fillId="0" borderId="1" xfId="2" applyNumberFormat="1" applyFont="1" applyBorder="1" applyAlignment="1">
      <alignment horizontal="center"/>
    </xf>
    <xf numFmtId="0" fontId="7" fillId="0" borderId="1" xfId="2" applyFont="1" applyBorder="1" applyAlignment="1">
      <alignment horizontal="center"/>
    </xf>
    <xf numFmtId="14" fontId="3" fillId="0" borderId="1" xfId="2" applyNumberFormat="1" applyFont="1" applyBorder="1" applyAlignment="1">
      <alignment horizontal="center"/>
    </xf>
    <xf numFmtId="0" fontId="8" fillId="0" borderId="0" xfId="1" applyFont="1" applyAlignment="1">
      <alignment horizontal="center"/>
    </xf>
    <xf numFmtId="14" fontId="16" fillId="0" borderId="1" xfId="2" applyNumberFormat="1" applyFont="1" applyBorder="1" applyAlignment="1">
      <alignment horizontal="center"/>
    </xf>
    <xf numFmtId="0" fontId="11" fillId="0" borderId="23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6" fillId="7" borderId="1" xfId="3" applyNumberFormat="1" applyFont="1" applyFill="1" applyBorder="1" applyAlignment="1">
      <alignment horizontal="center"/>
    </xf>
    <xf numFmtId="0" fontId="16" fillId="8" borderId="1" xfId="3" applyNumberFormat="1" applyFont="1" applyFill="1" applyBorder="1" applyAlignment="1">
      <alignment horizontal="center"/>
    </xf>
    <xf numFmtId="0" fontId="16" fillId="7" borderId="1" xfId="3" applyFont="1" applyFill="1" applyBorder="1" applyAlignment="1">
      <alignment horizontal="center"/>
    </xf>
    <xf numFmtId="0" fontId="16" fillId="8" borderId="1" xfId="3" applyFont="1" applyFill="1" applyBorder="1" applyAlignment="1">
      <alignment horizont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4" fillId="0" borderId="3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7" xfId="0" applyFont="1" applyBorder="1"/>
    <xf numFmtId="0" fontId="4" fillId="0" borderId="37" xfId="0" applyFont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3" fillId="7" borderId="37" xfId="2" applyFont="1" applyFill="1" applyBorder="1" applyAlignment="1">
      <alignment horizontal="center"/>
    </xf>
    <xf numFmtId="0" fontId="18" fillId="7" borderId="36" xfId="0" applyFont="1" applyFill="1" applyBorder="1" applyAlignment="1">
      <alignment horizontal="center"/>
    </xf>
    <xf numFmtId="0" fontId="4" fillId="0" borderId="0" xfId="0" applyFont="1" applyAlignment="1">
      <alignment vertical="center"/>
    </xf>
    <xf numFmtId="0" fontId="22" fillId="0" borderId="17" xfId="0" applyFont="1" applyBorder="1"/>
    <xf numFmtId="0" fontId="22" fillId="0" borderId="20" xfId="0" applyFont="1" applyBorder="1"/>
    <xf numFmtId="0" fontId="18" fillId="7" borderId="1" xfId="3" applyFont="1" applyFill="1" applyBorder="1" applyAlignment="1">
      <alignment horizontal="center"/>
    </xf>
    <xf numFmtId="0" fontId="18" fillId="8" borderId="1" xfId="3" applyFont="1" applyFill="1" applyBorder="1" applyAlignment="1">
      <alignment horizontal="center"/>
    </xf>
    <xf numFmtId="0" fontId="24" fillId="7" borderId="1" xfId="2" applyFont="1" applyFill="1" applyBorder="1" applyAlignment="1">
      <alignment horizontal="center"/>
    </xf>
    <xf numFmtId="0" fontId="13" fillId="0" borderId="0" xfId="0" applyFont="1"/>
    <xf numFmtId="0" fontId="14" fillId="2" borderId="0" xfId="0" applyFont="1" applyFill="1"/>
    <xf numFmtId="0" fontId="14" fillId="8" borderId="1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6" fontId="13" fillId="0" borderId="0" xfId="0" applyNumberFormat="1" applyFont="1"/>
    <xf numFmtId="0" fontId="7" fillId="7" borderId="9" xfId="1" applyFont="1" applyFill="1" applyBorder="1" applyAlignment="1">
      <alignment horizontal="center"/>
    </xf>
    <xf numFmtId="0" fontId="7" fillId="0" borderId="6" xfId="1" applyFont="1" applyBorder="1" applyAlignment="1">
      <alignment horizontal="center"/>
    </xf>
    <xf numFmtId="0" fontId="7" fillId="7" borderId="1" xfId="1" applyFont="1" applyFill="1" applyBorder="1" applyAlignment="1">
      <alignment horizontal="center"/>
    </xf>
    <xf numFmtId="0" fontId="14" fillId="7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4" xfId="0" applyFont="1" applyBorder="1" applyAlignment="1">
      <alignment horizontal="center"/>
    </xf>
    <xf numFmtId="0" fontId="7" fillId="7" borderId="5" xfId="1" applyFont="1" applyFill="1" applyBorder="1" applyAlignment="1">
      <alignment horizontal="center"/>
    </xf>
    <xf numFmtId="0" fontId="7" fillId="0" borderId="10" xfId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7" fillId="0" borderId="33" xfId="1" applyFont="1" applyBorder="1" applyAlignment="1">
      <alignment horizontal="center"/>
    </xf>
    <xf numFmtId="0" fontId="7" fillId="7" borderId="7" xfId="1" applyFont="1" applyFill="1" applyBorder="1" applyAlignment="1">
      <alignment horizontal="center"/>
    </xf>
    <xf numFmtId="0" fontId="7" fillId="0" borderId="21" xfId="1" applyFont="1" applyBorder="1" applyAlignment="1">
      <alignment horizontal="center"/>
    </xf>
    <xf numFmtId="0" fontId="7" fillId="8" borderId="9" xfId="1" applyFont="1" applyFill="1" applyBorder="1" applyAlignment="1">
      <alignment horizontal="center"/>
    </xf>
    <xf numFmtId="0" fontId="7" fillId="8" borderId="5" xfId="1" applyFont="1" applyFill="1" applyBorder="1" applyAlignment="1">
      <alignment horizontal="center"/>
    </xf>
    <xf numFmtId="0" fontId="7" fillId="8" borderId="27" xfId="1" applyFont="1" applyFill="1" applyBorder="1" applyAlignment="1">
      <alignment horizontal="center"/>
    </xf>
    <xf numFmtId="0" fontId="7" fillId="8" borderId="7" xfId="1" applyFont="1" applyFill="1" applyBorder="1" applyAlignment="1">
      <alignment horizontal="center"/>
    </xf>
    <xf numFmtId="0" fontId="7" fillId="0" borderId="31" xfId="1" applyFont="1" applyBorder="1" applyAlignment="1">
      <alignment horizontal="center"/>
    </xf>
    <xf numFmtId="0" fontId="7" fillId="9" borderId="1" xfId="1" applyFont="1" applyFill="1" applyBorder="1" applyAlignment="1">
      <alignment horizontal="center"/>
    </xf>
    <xf numFmtId="0" fontId="14" fillId="9" borderId="1" xfId="0" applyFont="1" applyFill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13" fillId="0" borderId="34" xfId="0" applyFont="1" applyBorder="1"/>
    <xf numFmtId="0" fontId="7" fillId="10" borderId="29" xfId="0" applyFont="1" applyFill="1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9" borderId="26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17" fontId="25" fillId="0" borderId="1" xfId="0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center" vertical="center"/>
    </xf>
    <xf numFmtId="0" fontId="27" fillId="0" borderId="1" xfId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4" fontId="10" fillId="0" borderId="26" xfId="0" applyNumberFormat="1" applyFont="1" applyBorder="1" applyAlignment="1">
      <alignment horizontal="center" vertical="center"/>
    </xf>
    <xf numFmtId="0" fontId="10" fillId="0" borderId="0" xfId="0" applyFont="1"/>
    <xf numFmtId="0" fontId="29" fillId="15" borderId="38" xfId="4" applyFont="1" applyFill="1" applyBorder="1" applyAlignment="1">
      <alignment horizontal="center" vertical="center"/>
    </xf>
    <xf numFmtId="0" fontId="29" fillId="16" borderId="38" xfId="4" applyFont="1" applyFill="1" applyBorder="1" applyAlignment="1">
      <alignment horizontal="center" vertical="center"/>
    </xf>
    <xf numFmtId="0" fontId="31" fillId="0" borderId="0" xfId="0" applyFont="1"/>
    <xf numFmtId="0" fontId="32" fillId="0" borderId="18" xfId="0" applyFont="1" applyBorder="1"/>
    <xf numFmtId="0" fontId="32" fillId="0" borderId="18" xfId="0" applyFont="1" applyBorder="1" applyAlignment="1">
      <alignment horizontal="center"/>
    </xf>
    <xf numFmtId="0" fontId="32" fillId="0" borderId="19" xfId="0" applyFont="1" applyBorder="1"/>
    <xf numFmtId="0" fontId="32" fillId="0" borderId="0" xfId="0" applyFont="1"/>
    <xf numFmtId="0" fontId="32" fillId="0" borderId="0" xfId="0" applyFont="1" applyAlignment="1">
      <alignment horizontal="center"/>
    </xf>
    <xf numFmtId="0" fontId="32" fillId="0" borderId="21" xfId="0" applyFont="1" applyBorder="1"/>
    <xf numFmtId="0" fontId="22" fillId="0" borderId="22" xfId="0" applyFont="1" applyBorder="1"/>
    <xf numFmtId="0" fontId="32" fillId="0" borderId="23" xfId="0" applyFont="1" applyBorder="1"/>
    <xf numFmtId="0" fontId="32" fillId="0" borderId="23" xfId="0" applyFont="1" applyBorder="1" applyAlignment="1">
      <alignment horizontal="center"/>
    </xf>
    <xf numFmtId="0" fontId="32" fillId="0" borderId="24" xfId="0" applyFont="1" applyBorder="1"/>
    <xf numFmtId="0" fontId="22" fillId="0" borderId="18" xfId="0" applyFont="1" applyBorder="1"/>
    <xf numFmtId="0" fontId="22" fillId="0" borderId="0" xfId="0" applyFont="1"/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0" borderId="1" xfId="2" applyFont="1" applyFill="1" applyBorder="1" applyAlignment="1">
      <alignment horizontal="center"/>
    </xf>
    <xf numFmtId="14" fontId="0" fillId="0" borderId="5" xfId="0" applyNumberFormat="1" applyFont="1" applyBorder="1" applyAlignment="1">
      <alignment horizontal="center" vertical="center"/>
    </xf>
    <xf numFmtId="0" fontId="17" fillId="7" borderId="1" xfId="3" applyNumberFormat="1" applyFont="1" applyFill="1" applyBorder="1" applyAlignment="1">
      <alignment horizontal="center"/>
    </xf>
    <xf numFmtId="0" fontId="17" fillId="8" borderId="1" xfId="3" applyNumberFormat="1" applyFont="1" applyFill="1" applyBorder="1" applyAlignment="1">
      <alignment horizontal="center"/>
    </xf>
    <xf numFmtId="0" fontId="17" fillId="7" borderId="1" xfId="3" applyFont="1" applyFill="1" applyBorder="1" applyAlignment="1">
      <alignment horizontal="center"/>
    </xf>
    <xf numFmtId="0" fontId="17" fillId="8" borderId="1" xfId="3" applyFont="1" applyFill="1" applyBorder="1" applyAlignment="1">
      <alignment horizontal="center"/>
    </xf>
    <xf numFmtId="0" fontId="16" fillId="14" borderId="1" xfId="3" applyFont="1" applyFill="1" applyBorder="1" applyAlignment="1">
      <alignment horizontal="center"/>
    </xf>
    <xf numFmtId="0" fontId="7" fillId="14" borderId="1" xfId="2" applyFont="1" applyFill="1" applyBorder="1" applyAlignment="1">
      <alignment horizontal="center"/>
    </xf>
    <xf numFmtId="0" fontId="16" fillId="2" borderId="1" xfId="3" applyFont="1" applyFill="1" applyBorder="1" applyAlignment="1">
      <alignment horizontal="center"/>
    </xf>
    <xf numFmtId="0" fontId="10" fillId="14" borderId="1" xfId="0" applyFont="1" applyFill="1" applyBorder="1" applyAlignment="1">
      <alignment horizontal="left" vertical="center"/>
    </xf>
    <xf numFmtId="0" fontId="0" fillId="5" borderId="1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2" fillId="0" borderId="0" xfId="0" applyFont="1" applyBorder="1"/>
    <xf numFmtId="0" fontId="22" fillId="0" borderId="0" xfId="0" applyFont="1" applyBorder="1"/>
    <xf numFmtId="0" fontId="32" fillId="0" borderId="0" xfId="0" applyFont="1" applyBorder="1" applyAlignment="1">
      <alignment horizontal="center"/>
    </xf>
    <xf numFmtId="0" fontId="18" fillId="5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4" fillId="0" borderId="3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5" borderId="29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0" fillId="12" borderId="29" xfId="0" applyFont="1" applyFill="1" applyBorder="1" applyAlignment="1">
      <alignment horizontal="center"/>
    </xf>
    <xf numFmtId="0" fontId="10" fillId="12" borderId="30" xfId="0" applyFont="1" applyFill="1" applyBorder="1" applyAlignment="1">
      <alignment horizontal="center"/>
    </xf>
    <xf numFmtId="0" fontId="10" fillId="13" borderId="29" xfId="0" applyFont="1" applyFill="1" applyBorder="1" applyAlignment="1">
      <alignment horizontal="center"/>
    </xf>
    <xf numFmtId="0" fontId="10" fillId="13" borderId="30" xfId="0" applyFont="1" applyFill="1" applyBorder="1" applyAlignment="1">
      <alignment horizontal="center"/>
    </xf>
    <xf numFmtId="0" fontId="10" fillId="14" borderId="29" xfId="0" applyFont="1" applyFill="1" applyBorder="1" applyAlignment="1">
      <alignment horizontal="center"/>
    </xf>
    <xf numFmtId="0" fontId="10" fillId="14" borderId="30" xfId="0" applyFont="1" applyFill="1" applyBorder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49" fontId="21" fillId="0" borderId="21" xfId="0" applyNumberFormat="1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29" fillId="0" borderId="39" xfId="4" applyFont="1" applyBorder="1" applyAlignment="1">
      <alignment horizontal="center" vertical="center"/>
    </xf>
    <xf numFmtId="0" fontId="30" fillId="0" borderId="40" xfId="4" applyFont="1" applyBorder="1"/>
    <xf numFmtId="0" fontId="17" fillId="7" borderId="11" xfId="2" applyNumberFormat="1" applyFont="1" applyFill="1" applyBorder="1" applyAlignment="1">
      <alignment horizontal="center"/>
    </xf>
    <xf numFmtId="0" fontId="17" fillId="7" borderId="28" xfId="2" applyNumberFormat="1" applyFont="1" applyFill="1" applyBorder="1" applyAlignment="1">
      <alignment horizontal="center"/>
    </xf>
    <xf numFmtId="0" fontId="17" fillId="7" borderId="12" xfId="2" applyNumberFormat="1" applyFont="1" applyFill="1" applyBorder="1" applyAlignment="1">
      <alignment horizontal="center"/>
    </xf>
  </cellXfs>
  <cellStyles count="5">
    <cellStyle name="Normal" xfId="0" builtinId="0"/>
    <cellStyle name="Normal 2" xfId="2" xr:uid="{00000000-0005-0000-0000-000001000000}"/>
    <cellStyle name="Normal 2 2" xfId="3" xr:uid="{00000000-0005-0000-0000-000002000000}"/>
    <cellStyle name="Normal 3" xfId="1" xr:uid="{00000000-0005-0000-0000-000003000000}"/>
    <cellStyle name="Normal 4" xfId="4" xr:uid="{205AB62D-E8ED-4359-A58A-5629428B8658}"/>
  </cellStyles>
  <dxfs count="0"/>
  <tableStyles count="0" defaultTableStyle="TableStyleMedium2" defaultPivotStyle="PivotStyleLight16"/>
  <colors>
    <mruColors>
      <color rgb="FFFF00FF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142876</xdr:colOff>
      <xdr:row>2</xdr:row>
      <xdr:rowOff>57149</xdr:rowOff>
    </xdr:from>
    <xdr:ext cx="1515902" cy="1466851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4051" y="447674"/>
          <a:ext cx="1515902" cy="1466851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13</xdr:row>
          <xdr:rowOff>152400</xdr:rowOff>
        </xdr:from>
        <xdr:to>
          <xdr:col>15</xdr:col>
          <xdr:colOff>238125</xdr:colOff>
          <xdr:row>16</xdr:row>
          <xdr:rowOff>38100</xdr:rowOff>
        </xdr:to>
        <xdr:sp macro="" textlink="">
          <xdr:nvSpPr>
            <xdr:cNvPr id="256001" name="Button 1" hidden="1">
              <a:extLst>
                <a:ext uri="{63B3BB69-23CF-44E3-9099-C40C66FF867C}">
                  <a14:compatExt spid="_x0000_s256001"/>
                </a:ext>
                <a:ext uri="{FF2B5EF4-FFF2-40B4-BE49-F238E27FC236}">
                  <a16:creationId xmlns:a16="http://schemas.microsoft.com/office/drawing/2014/main" id="{00000000-0008-0000-0400-000001E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MÊS NOVO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142876</xdr:colOff>
      <xdr:row>2</xdr:row>
      <xdr:rowOff>57149</xdr:rowOff>
    </xdr:from>
    <xdr:ext cx="1515902" cy="1466851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4051" y="447674"/>
          <a:ext cx="1515902" cy="146685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13</xdr:row>
          <xdr:rowOff>152400</xdr:rowOff>
        </xdr:from>
        <xdr:to>
          <xdr:col>15</xdr:col>
          <xdr:colOff>238125</xdr:colOff>
          <xdr:row>16</xdr:row>
          <xdr:rowOff>38100</xdr:rowOff>
        </xdr:to>
        <xdr:sp macro="" textlink="">
          <xdr:nvSpPr>
            <xdr:cNvPr id="271361" name="Button 1" hidden="1">
              <a:extLst>
                <a:ext uri="{63B3BB69-23CF-44E3-9099-C40C66FF867C}">
                  <a14:compatExt spid="_x0000_s271361"/>
                </a:ext>
                <a:ext uri="{FF2B5EF4-FFF2-40B4-BE49-F238E27FC236}">
                  <a16:creationId xmlns:a16="http://schemas.microsoft.com/office/drawing/2014/main" id="{00000000-0008-0000-0600-0000012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MÊS NOVO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142876</xdr:colOff>
      <xdr:row>2</xdr:row>
      <xdr:rowOff>57149</xdr:rowOff>
    </xdr:from>
    <xdr:ext cx="1515902" cy="1466851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4051" y="447674"/>
          <a:ext cx="1515902" cy="1466851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13</xdr:row>
          <xdr:rowOff>152400</xdr:rowOff>
        </xdr:from>
        <xdr:to>
          <xdr:col>15</xdr:col>
          <xdr:colOff>238125</xdr:colOff>
          <xdr:row>16</xdr:row>
          <xdr:rowOff>38100</xdr:rowOff>
        </xdr:to>
        <xdr:sp macro="" textlink="">
          <xdr:nvSpPr>
            <xdr:cNvPr id="276481" name="Button 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8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MÊS NOVO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B1:W113"/>
  <sheetViews>
    <sheetView showGridLines="0" topLeftCell="C13" zoomScale="85" zoomScaleNormal="85" workbookViewId="0">
      <selection activeCell="R31" sqref="Q31:R37"/>
    </sheetView>
  </sheetViews>
  <sheetFormatPr defaultColWidth="9.140625" defaultRowHeight="15" x14ac:dyDescent="0.25"/>
  <cols>
    <col min="1" max="1" width="2.42578125" style="2" customWidth="1"/>
    <col min="2" max="2" width="11.5703125" bestFit="1" customWidth="1"/>
    <col min="3" max="3" width="12.5703125" style="2" customWidth="1"/>
    <col min="4" max="11" width="13.7109375" style="27" customWidth="1"/>
    <col min="12" max="12" width="4.7109375" style="2" customWidth="1"/>
    <col min="13" max="13" width="9.140625" style="2"/>
    <col min="14" max="16" width="16.42578125" style="2" customWidth="1"/>
    <col min="17" max="17" width="9.140625" style="2"/>
    <col min="18" max="19" width="11" style="2" customWidth="1"/>
    <col min="20" max="20" width="11" style="1" customWidth="1"/>
    <col min="21" max="16384" width="9.140625" style="2"/>
  </cols>
  <sheetData>
    <row r="1" spans="3:23" x14ac:dyDescent="0.25">
      <c r="C1"/>
      <c r="D1"/>
      <c r="E1"/>
      <c r="F1"/>
      <c r="G1"/>
      <c r="K1"/>
    </row>
    <row r="2" spans="3:23" ht="15" customHeight="1" x14ac:dyDescent="0.25">
      <c r="C2"/>
      <c r="D2"/>
      <c r="E2"/>
      <c r="F2"/>
      <c r="G2"/>
      <c r="H2"/>
      <c r="I2" s="2"/>
      <c r="J2" s="2"/>
      <c r="K2" s="2"/>
      <c r="T2" s="2"/>
    </row>
    <row r="3" spans="3:23" ht="15" customHeight="1" x14ac:dyDescent="0.25">
      <c r="C3"/>
      <c r="D3"/>
      <c r="E3"/>
      <c r="F3"/>
      <c r="G3"/>
      <c r="H3" s="2"/>
      <c r="I3" s="2"/>
      <c r="J3" s="2"/>
      <c r="K3" s="2"/>
      <c r="T3" s="2"/>
    </row>
    <row r="4" spans="3:23" ht="15" customHeight="1" x14ac:dyDescent="0.25">
      <c r="C4"/>
      <c r="D4"/>
      <c r="E4"/>
      <c r="F4"/>
      <c r="G4"/>
      <c r="H4" s="2"/>
      <c r="I4" s="2"/>
      <c r="J4" s="2"/>
      <c r="K4" s="2"/>
      <c r="T4" s="2"/>
    </row>
    <row r="5" spans="3:23" x14ac:dyDescent="0.25">
      <c r="C5"/>
      <c r="D5"/>
      <c r="E5"/>
      <c r="F5"/>
      <c r="G5"/>
      <c r="H5" s="2"/>
      <c r="I5" s="2"/>
      <c r="J5" s="2"/>
      <c r="K5" s="2"/>
      <c r="T5" s="2"/>
    </row>
    <row r="6" spans="3:23" x14ac:dyDescent="0.25">
      <c r="C6"/>
      <c r="D6"/>
      <c r="E6"/>
      <c r="F6"/>
      <c r="G6"/>
      <c r="H6" s="2"/>
      <c r="I6" s="2"/>
      <c r="J6" s="2"/>
      <c r="K6" s="2"/>
      <c r="T6" s="2"/>
    </row>
    <row r="7" spans="3:23" x14ac:dyDescent="0.25">
      <c r="C7"/>
      <c r="D7"/>
      <c r="E7"/>
      <c r="F7"/>
      <c r="G7"/>
      <c r="H7" s="2"/>
      <c r="I7" s="2"/>
      <c r="J7" s="2"/>
      <c r="K7" s="2"/>
      <c r="T7" s="2"/>
    </row>
    <row r="8" spans="3:23" x14ac:dyDescent="0.25">
      <c r="C8"/>
      <c r="D8"/>
      <c r="E8"/>
      <c r="F8"/>
      <c r="G8"/>
      <c r="H8" s="2"/>
      <c r="I8" s="2"/>
      <c r="J8" s="2"/>
      <c r="K8" s="2"/>
      <c r="T8" s="2"/>
    </row>
    <row r="9" spans="3:23" x14ac:dyDescent="0.25">
      <c r="C9"/>
      <c r="D9"/>
      <c r="E9"/>
      <c r="F9"/>
      <c r="G9"/>
      <c r="H9" s="6"/>
      <c r="I9" s="6"/>
      <c r="J9" s="6"/>
      <c r="K9" s="6"/>
    </row>
    <row r="10" spans="3:23" x14ac:dyDescent="0.25">
      <c r="C10" s="28"/>
      <c r="D10" s="29"/>
      <c r="E10" s="29"/>
      <c r="F10" s="29"/>
      <c r="G10" s="29"/>
      <c r="H10" s="29"/>
      <c r="I10" s="29"/>
      <c r="J10" s="29"/>
      <c r="K10" s="29"/>
    </row>
    <row r="11" spans="3:23" ht="15.75" customHeight="1" x14ac:dyDescent="0.25">
      <c r="C11" s="45" t="s">
        <v>39</v>
      </c>
      <c r="D11" s="46" t="s">
        <v>53</v>
      </c>
      <c r="E11" s="46" t="s">
        <v>53</v>
      </c>
      <c r="F11" s="46" t="s">
        <v>54</v>
      </c>
      <c r="G11" s="46" t="s">
        <v>54</v>
      </c>
      <c r="H11" s="46" t="s">
        <v>55</v>
      </c>
      <c r="I11" s="46" t="s">
        <v>55</v>
      </c>
      <c r="J11" s="46" t="s">
        <v>56</v>
      </c>
      <c r="K11" s="46" t="s">
        <v>56</v>
      </c>
    </row>
    <row r="12" spans="3:23" ht="15.75" x14ac:dyDescent="0.25">
      <c r="C12" s="88">
        <v>44470</v>
      </c>
      <c r="D12" s="94" t="s">
        <v>1</v>
      </c>
      <c r="E12" s="95" t="s">
        <v>4</v>
      </c>
      <c r="F12" s="94" t="s">
        <v>27</v>
      </c>
      <c r="G12" s="95" t="s">
        <v>6</v>
      </c>
      <c r="H12" s="94" t="s">
        <v>12</v>
      </c>
      <c r="I12" s="95" t="s">
        <v>59</v>
      </c>
      <c r="J12" s="96" t="s">
        <v>26</v>
      </c>
      <c r="K12" s="97" t="s">
        <v>99</v>
      </c>
      <c r="L12" s="30"/>
      <c r="M12" s="4" t="s">
        <v>44</v>
      </c>
      <c r="N12" s="4" t="s">
        <v>15</v>
      </c>
      <c r="O12" s="4" t="s">
        <v>16</v>
      </c>
      <c r="P12" s="4" t="s">
        <v>17</v>
      </c>
      <c r="Q12" s="4" t="s">
        <v>18</v>
      </c>
      <c r="R12" s="4" t="s">
        <v>57</v>
      </c>
      <c r="S12" s="31" t="s">
        <v>58</v>
      </c>
      <c r="T12" s="2"/>
    </row>
    <row r="13" spans="3:23" ht="15.75" x14ac:dyDescent="0.25">
      <c r="C13" s="88">
        <v>44471</v>
      </c>
      <c r="D13" s="94" t="s">
        <v>0</v>
      </c>
      <c r="E13" s="95" t="s">
        <v>4</v>
      </c>
      <c r="F13" s="94" t="s">
        <v>27</v>
      </c>
      <c r="G13" s="95" t="s">
        <v>6</v>
      </c>
      <c r="H13" s="94" t="s">
        <v>12</v>
      </c>
      <c r="I13" s="95" t="s">
        <v>95</v>
      </c>
      <c r="J13" s="96" t="s">
        <v>26</v>
      </c>
      <c r="K13" s="97" t="s">
        <v>99</v>
      </c>
      <c r="M13" s="47" t="s">
        <v>26</v>
      </c>
      <c r="N13" s="42">
        <f>COUNTIF($D$12:$D$42,M13)</f>
        <v>4</v>
      </c>
      <c r="O13" s="42">
        <f>COUNTIF($F$12:$F$42,"A")</f>
        <v>4</v>
      </c>
      <c r="P13" s="42">
        <f>COUNTIF($H$12:$H$42,"A")</f>
        <v>4</v>
      </c>
      <c r="Q13" s="42">
        <f>COUNTIF($J$12:$J$42,"A")</f>
        <v>7</v>
      </c>
      <c r="R13" s="43">
        <f t="shared" ref="R13:R26" si="0">SUM(N13:Q13)</f>
        <v>19</v>
      </c>
      <c r="S13" s="42">
        <f>31-R13</f>
        <v>12</v>
      </c>
      <c r="T13" s="2"/>
      <c r="V13" s="96" t="s">
        <v>26</v>
      </c>
      <c r="W13" s="97" t="s">
        <v>99</v>
      </c>
    </row>
    <row r="14" spans="3:23" ht="15.75" x14ac:dyDescent="0.25">
      <c r="C14" s="88">
        <v>44472</v>
      </c>
      <c r="D14" s="94" t="s">
        <v>0</v>
      </c>
      <c r="E14" s="95" t="s">
        <v>4</v>
      </c>
      <c r="F14" s="96" t="s">
        <v>8</v>
      </c>
      <c r="G14" s="95" t="s">
        <v>6</v>
      </c>
      <c r="H14" s="94" t="s">
        <v>12</v>
      </c>
      <c r="I14" s="95" t="s">
        <v>95</v>
      </c>
      <c r="J14" s="96" t="s">
        <v>26</v>
      </c>
      <c r="K14" s="97" t="s">
        <v>10</v>
      </c>
      <c r="L14" s="32"/>
      <c r="M14" s="48" t="s">
        <v>1</v>
      </c>
      <c r="N14" s="42">
        <f t="shared" ref="N14:N18" si="1">COUNTIF($D$12:$D$42,M14)</f>
        <v>5</v>
      </c>
      <c r="O14" s="42">
        <f>COUNTIF($F$12:$F$42,"B")</f>
        <v>4</v>
      </c>
      <c r="P14" s="42">
        <f>COUNTIF($H$12:$H$42,"B")</f>
        <v>4</v>
      </c>
      <c r="Q14" s="42">
        <f>COUNTIF($J$12:$J$42,"B")</f>
        <v>4</v>
      </c>
      <c r="R14" s="43">
        <f t="shared" si="0"/>
        <v>17</v>
      </c>
      <c r="S14" s="42">
        <f t="shared" ref="S14:S26" si="2">31-R14</f>
        <v>14</v>
      </c>
      <c r="T14" s="2"/>
      <c r="V14" s="96" t="s">
        <v>26</v>
      </c>
      <c r="W14" s="97" t="s">
        <v>99</v>
      </c>
    </row>
    <row r="15" spans="3:23" ht="15.75" x14ac:dyDescent="0.25">
      <c r="C15" s="88">
        <v>44473</v>
      </c>
      <c r="D15" s="94" t="s">
        <v>0</v>
      </c>
      <c r="E15" s="95" t="s">
        <v>28</v>
      </c>
      <c r="F15" s="96" t="s">
        <v>8</v>
      </c>
      <c r="G15" s="95" t="s">
        <v>6</v>
      </c>
      <c r="H15" s="94" t="s">
        <v>3</v>
      </c>
      <c r="I15" s="95" t="s">
        <v>95</v>
      </c>
      <c r="J15" s="96" t="s">
        <v>26</v>
      </c>
      <c r="K15" s="97" t="s">
        <v>10</v>
      </c>
      <c r="L15" s="32"/>
      <c r="M15" s="48" t="s">
        <v>0</v>
      </c>
      <c r="N15" s="42">
        <f t="shared" si="1"/>
        <v>6</v>
      </c>
      <c r="O15" s="42">
        <f>COUNTIF($F$12:$F$42,"C")</f>
        <v>4</v>
      </c>
      <c r="P15" s="42">
        <f>COUNTIF($H$12:$H$42,"C")</f>
        <v>4</v>
      </c>
      <c r="Q15" s="42">
        <f>COUNTIF($J$12:$J$42,"C")</f>
        <v>4</v>
      </c>
      <c r="R15" s="43">
        <f t="shared" si="0"/>
        <v>18</v>
      </c>
      <c r="S15" s="42">
        <f t="shared" si="2"/>
        <v>13</v>
      </c>
      <c r="T15" s="2"/>
      <c r="V15" s="96" t="s">
        <v>26</v>
      </c>
      <c r="W15" s="97" t="s">
        <v>99</v>
      </c>
    </row>
    <row r="16" spans="3:23" ht="15.75" x14ac:dyDescent="0.25">
      <c r="C16" s="88">
        <v>44474</v>
      </c>
      <c r="D16" s="94" t="s">
        <v>0</v>
      </c>
      <c r="E16" s="95" t="s">
        <v>28</v>
      </c>
      <c r="F16" s="96" t="s">
        <v>8</v>
      </c>
      <c r="G16" s="95" t="s">
        <v>59</v>
      </c>
      <c r="H16" s="94" t="s">
        <v>3</v>
      </c>
      <c r="I16" s="95" t="s">
        <v>95</v>
      </c>
      <c r="J16" s="96" t="s">
        <v>1</v>
      </c>
      <c r="K16" s="97" t="s">
        <v>10</v>
      </c>
      <c r="L16" s="32"/>
      <c r="M16" s="48" t="s">
        <v>27</v>
      </c>
      <c r="N16" s="42">
        <f t="shared" si="1"/>
        <v>4</v>
      </c>
      <c r="O16" s="42">
        <f>COUNTIF($F$12:$F$42,"D")</f>
        <v>6</v>
      </c>
      <c r="P16" s="42">
        <f>COUNTIF($H$12:$H$42,"D")</f>
        <v>4</v>
      </c>
      <c r="Q16" s="42">
        <f>COUNTIF($J$12:$J$42,"D")</f>
        <v>4</v>
      </c>
      <c r="R16" s="43">
        <f t="shared" si="0"/>
        <v>18</v>
      </c>
      <c r="S16" s="42">
        <f t="shared" si="2"/>
        <v>13</v>
      </c>
      <c r="T16" s="2"/>
      <c r="V16" s="96" t="s">
        <v>26</v>
      </c>
      <c r="W16" s="97" t="s">
        <v>99</v>
      </c>
    </row>
    <row r="17" spans="3:23" ht="15.75" x14ac:dyDescent="0.25">
      <c r="C17" s="88">
        <v>44475</v>
      </c>
      <c r="D17" s="96" t="s">
        <v>27</v>
      </c>
      <c r="E17" s="95" t="s">
        <v>28</v>
      </c>
      <c r="F17" s="96" t="s">
        <v>8</v>
      </c>
      <c r="G17" s="95" t="s">
        <v>59</v>
      </c>
      <c r="H17" s="94" t="s">
        <v>3</v>
      </c>
      <c r="I17" s="95" t="s">
        <v>99</v>
      </c>
      <c r="J17" s="96" t="s">
        <v>1</v>
      </c>
      <c r="K17" s="97" t="s">
        <v>10</v>
      </c>
      <c r="L17" s="33"/>
      <c r="M17" s="48" t="s">
        <v>8</v>
      </c>
      <c r="N17" s="42">
        <f t="shared" si="1"/>
        <v>4</v>
      </c>
      <c r="O17" s="42">
        <f>COUNTIF($F$12:$F$42,"E")</f>
        <v>5</v>
      </c>
      <c r="P17" s="42">
        <f>COUNTIF($H$12:$H$42,"E")</f>
        <v>4</v>
      </c>
      <c r="Q17" s="42">
        <f>COUNTIF($J$12:$J$42,"E")</f>
        <v>4</v>
      </c>
      <c r="R17" s="43">
        <f t="shared" si="0"/>
        <v>17</v>
      </c>
      <c r="S17" s="42">
        <f t="shared" si="2"/>
        <v>14</v>
      </c>
      <c r="T17" s="2"/>
      <c r="V17" s="96" t="s">
        <v>1</v>
      </c>
      <c r="W17" s="97" t="s">
        <v>10</v>
      </c>
    </row>
    <row r="18" spans="3:23" ht="15.75" x14ac:dyDescent="0.25">
      <c r="C18" s="88">
        <v>44476</v>
      </c>
      <c r="D18" s="96" t="s">
        <v>27</v>
      </c>
      <c r="E18" s="95" t="s">
        <v>28</v>
      </c>
      <c r="F18" s="96" t="s">
        <v>12</v>
      </c>
      <c r="G18" s="95" t="s">
        <v>59</v>
      </c>
      <c r="H18" s="94" t="s">
        <v>3</v>
      </c>
      <c r="I18" s="95" t="s">
        <v>99</v>
      </c>
      <c r="J18" s="96" t="s">
        <v>1</v>
      </c>
      <c r="K18" s="97" t="s">
        <v>4</v>
      </c>
      <c r="L18" s="32"/>
      <c r="M18" s="48" t="s">
        <v>12</v>
      </c>
      <c r="N18" s="42">
        <f t="shared" si="1"/>
        <v>4</v>
      </c>
      <c r="O18" s="42">
        <f>COUNTIF($F$12:$F$42,"F")</f>
        <v>4</v>
      </c>
      <c r="P18" s="42">
        <f>COUNTIF($H$12:$H$42,"F")</f>
        <v>7</v>
      </c>
      <c r="Q18" s="42">
        <f>COUNTIF($J$12:$J$42,"F")</f>
        <v>4</v>
      </c>
      <c r="R18" s="43">
        <f t="shared" si="0"/>
        <v>19</v>
      </c>
      <c r="S18" s="42">
        <f t="shared" si="2"/>
        <v>12</v>
      </c>
      <c r="T18" s="2"/>
      <c r="V18" s="96" t="s">
        <v>1</v>
      </c>
      <c r="W18" s="97" t="s">
        <v>10</v>
      </c>
    </row>
    <row r="19" spans="3:23" ht="15.75" x14ac:dyDescent="0.25">
      <c r="C19" s="88">
        <v>44477</v>
      </c>
      <c r="D19" s="96" t="s">
        <v>27</v>
      </c>
      <c r="E19" s="95" t="s">
        <v>6</v>
      </c>
      <c r="F19" s="96" t="s">
        <v>12</v>
      </c>
      <c r="G19" s="95" t="s">
        <v>59</v>
      </c>
      <c r="H19" s="94" t="s">
        <v>26</v>
      </c>
      <c r="I19" s="95" t="s">
        <v>99</v>
      </c>
      <c r="J19" s="96" t="s">
        <v>1</v>
      </c>
      <c r="K19" s="97" t="s">
        <v>4</v>
      </c>
      <c r="L19" s="32"/>
      <c r="M19" s="48" t="s">
        <v>3</v>
      </c>
      <c r="N19" s="42">
        <f>COUNTIF($E$12:$E$42,"G")</f>
        <v>0</v>
      </c>
      <c r="O19" s="42">
        <f>COUNTIF($G$12:$G$42,"G")</f>
        <v>0</v>
      </c>
      <c r="P19" s="42">
        <f>COUNTIF($I$12:$I$42,"G")</f>
        <v>0</v>
      </c>
      <c r="Q19" s="42">
        <f>COUNTIF($K$12:$K$42,"G")</f>
        <v>0</v>
      </c>
      <c r="R19" s="43">
        <f t="shared" si="0"/>
        <v>0</v>
      </c>
      <c r="S19" s="42">
        <f t="shared" si="2"/>
        <v>31</v>
      </c>
      <c r="T19" s="2"/>
      <c r="V19" s="96" t="s">
        <v>1</v>
      </c>
      <c r="W19" s="97" t="s">
        <v>10</v>
      </c>
    </row>
    <row r="20" spans="3:23" ht="15.75" x14ac:dyDescent="0.25">
      <c r="C20" s="88">
        <v>44478</v>
      </c>
      <c r="D20" s="96" t="s">
        <v>27</v>
      </c>
      <c r="E20" s="95" t="s">
        <v>6</v>
      </c>
      <c r="F20" s="96" t="s">
        <v>12</v>
      </c>
      <c r="G20" s="95" t="s">
        <v>95</v>
      </c>
      <c r="H20" s="94" t="s">
        <v>26</v>
      </c>
      <c r="I20" s="95" t="s">
        <v>99</v>
      </c>
      <c r="J20" s="96" t="s">
        <v>0</v>
      </c>
      <c r="K20" s="97" t="s">
        <v>4</v>
      </c>
      <c r="L20" s="32"/>
      <c r="M20" s="55" t="s">
        <v>10</v>
      </c>
      <c r="N20" s="53">
        <f>COUNTIF($E$12:$E$42,M20)</f>
        <v>4</v>
      </c>
      <c r="O20" s="53">
        <f>COUNTIF($G$12:$G$42,M20)</f>
        <v>4</v>
      </c>
      <c r="P20" s="53">
        <f>COUNTIF($I$12:$I$42,M20)</f>
        <v>4</v>
      </c>
      <c r="Q20" s="53">
        <f>COUNTIF($K$12:$K$42,M20)</f>
        <v>5</v>
      </c>
      <c r="R20" s="54">
        <f t="shared" si="0"/>
        <v>17</v>
      </c>
      <c r="S20" s="53">
        <f t="shared" si="2"/>
        <v>14</v>
      </c>
      <c r="T20" s="2"/>
      <c r="V20" s="96" t="s">
        <v>1</v>
      </c>
      <c r="W20" s="97" t="s">
        <v>10</v>
      </c>
    </row>
    <row r="21" spans="3:23" ht="15.75" x14ac:dyDescent="0.25">
      <c r="C21" s="88">
        <v>44479</v>
      </c>
      <c r="D21" s="96" t="s">
        <v>8</v>
      </c>
      <c r="E21" s="95" t="s">
        <v>6</v>
      </c>
      <c r="F21" s="96" t="s">
        <v>12</v>
      </c>
      <c r="G21" s="95" t="s">
        <v>95</v>
      </c>
      <c r="H21" s="94" t="s">
        <v>26</v>
      </c>
      <c r="I21" s="97" t="s">
        <v>10</v>
      </c>
      <c r="J21" s="96" t="s">
        <v>0</v>
      </c>
      <c r="K21" s="97" t="s">
        <v>4</v>
      </c>
      <c r="L21" s="34"/>
      <c r="M21" s="55" t="s">
        <v>4</v>
      </c>
      <c r="N21" s="53">
        <f t="shared" ref="N21:N26" si="3">COUNTIF($E$12:$E$42,M21)</f>
        <v>7</v>
      </c>
      <c r="O21" s="53">
        <f t="shared" ref="O21:O26" si="4">COUNTIF($G$12:$G$42,M21)</f>
        <v>4</v>
      </c>
      <c r="P21" s="53">
        <f t="shared" ref="P21:P26" si="5">COUNTIF($I$12:$I$42,M21)</f>
        <v>4</v>
      </c>
      <c r="Q21" s="53">
        <f t="shared" ref="Q21:Q26" si="6">COUNTIF($K$12:$K$42,M21)</f>
        <v>4</v>
      </c>
      <c r="R21" s="54">
        <f t="shared" si="0"/>
        <v>19</v>
      </c>
      <c r="S21" s="53">
        <f t="shared" si="2"/>
        <v>12</v>
      </c>
      <c r="T21" s="2"/>
      <c r="V21" s="96" t="s">
        <v>0</v>
      </c>
      <c r="W21" s="97" t="s">
        <v>4</v>
      </c>
    </row>
    <row r="22" spans="3:23" ht="15.75" x14ac:dyDescent="0.25">
      <c r="C22" s="88">
        <v>44480</v>
      </c>
      <c r="D22" s="96" t="s">
        <v>8</v>
      </c>
      <c r="E22" s="95" t="s">
        <v>6</v>
      </c>
      <c r="F22" s="96" t="s">
        <v>3</v>
      </c>
      <c r="G22" s="95" t="s">
        <v>95</v>
      </c>
      <c r="H22" s="94" t="s">
        <v>26</v>
      </c>
      <c r="I22" s="97" t="s">
        <v>10</v>
      </c>
      <c r="J22" s="96" t="s">
        <v>0</v>
      </c>
      <c r="K22" s="97" t="s">
        <v>28</v>
      </c>
      <c r="L22" s="32"/>
      <c r="M22" s="55" t="s">
        <v>28</v>
      </c>
      <c r="N22" s="53">
        <f t="shared" si="3"/>
        <v>4</v>
      </c>
      <c r="O22" s="53">
        <f t="shared" si="4"/>
        <v>4</v>
      </c>
      <c r="P22" s="53">
        <f t="shared" si="5"/>
        <v>4</v>
      </c>
      <c r="Q22" s="53">
        <f t="shared" si="6"/>
        <v>4</v>
      </c>
      <c r="R22" s="54">
        <f t="shared" si="0"/>
        <v>16</v>
      </c>
      <c r="S22" s="53">
        <f t="shared" si="2"/>
        <v>15</v>
      </c>
      <c r="T22" s="2"/>
      <c r="V22" s="96" t="s">
        <v>0</v>
      </c>
      <c r="W22" s="97" t="s">
        <v>4</v>
      </c>
    </row>
    <row r="23" spans="3:23" ht="15.75" x14ac:dyDescent="0.25">
      <c r="C23" s="88">
        <v>44481</v>
      </c>
      <c r="D23" s="96" t="s">
        <v>8</v>
      </c>
      <c r="E23" s="95" t="s">
        <v>59</v>
      </c>
      <c r="F23" s="96" t="s">
        <v>3</v>
      </c>
      <c r="G23" s="95" t="s">
        <v>95</v>
      </c>
      <c r="H23" s="94" t="s">
        <v>1</v>
      </c>
      <c r="I23" s="97" t="s">
        <v>10</v>
      </c>
      <c r="J23" s="96" t="s">
        <v>0</v>
      </c>
      <c r="K23" s="97" t="s">
        <v>28</v>
      </c>
      <c r="L23" s="33"/>
      <c r="M23" s="55" t="s">
        <v>6</v>
      </c>
      <c r="N23" s="53">
        <f t="shared" si="3"/>
        <v>4</v>
      </c>
      <c r="O23" s="53">
        <f t="shared" si="4"/>
        <v>7</v>
      </c>
      <c r="P23" s="53">
        <f t="shared" si="5"/>
        <v>4</v>
      </c>
      <c r="Q23" s="53">
        <f t="shared" si="6"/>
        <v>4</v>
      </c>
      <c r="R23" s="54">
        <f t="shared" si="0"/>
        <v>19</v>
      </c>
      <c r="S23" s="53">
        <f t="shared" si="2"/>
        <v>12</v>
      </c>
      <c r="T23" s="2"/>
      <c r="V23" s="96" t="s">
        <v>0</v>
      </c>
      <c r="W23" s="97" t="s">
        <v>4</v>
      </c>
    </row>
    <row r="24" spans="3:23" ht="15.75" x14ac:dyDescent="0.25">
      <c r="C24" s="88">
        <v>44482</v>
      </c>
      <c r="D24" s="96" t="s">
        <v>8</v>
      </c>
      <c r="E24" s="95" t="s">
        <v>59</v>
      </c>
      <c r="F24" s="96" t="s">
        <v>3</v>
      </c>
      <c r="G24" s="95" t="s">
        <v>99</v>
      </c>
      <c r="H24" s="94" t="s">
        <v>1</v>
      </c>
      <c r="I24" s="97" t="s">
        <v>10</v>
      </c>
      <c r="J24" s="96" t="s">
        <v>27</v>
      </c>
      <c r="K24" s="97" t="s">
        <v>28</v>
      </c>
      <c r="L24" s="33"/>
      <c r="M24" s="55" t="s">
        <v>59</v>
      </c>
      <c r="N24" s="53">
        <f t="shared" si="3"/>
        <v>4</v>
      </c>
      <c r="O24" s="53">
        <f t="shared" si="4"/>
        <v>4</v>
      </c>
      <c r="P24" s="53">
        <f t="shared" si="5"/>
        <v>5</v>
      </c>
      <c r="Q24" s="53">
        <f t="shared" si="6"/>
        <v>4</v>
      </c>
      <c r="R24" s="54">
        <f t="shared" si="0"/>
        <v>17</v>
      </c>
      <c r="S24" s="53">
        <f t="shared" si="2"/>
        <v>14</v>
      </c>
      <c r="T24" s="2"/>
      <c r="V24" s="96" t="s">
        <v>0</v>
      </c>
      <c r="W24" s="97" t="s">
        <v>4</v>
      </c>
    </row>
    <row r="25" spans="3:23" ht="15.75" x14ac:dyDescent="0.25">
      <c r="C25" s="88">
        <v>44483</v>
      </c>
      <c r="D25" s="96" t="s">
        <v>12</v>
      </c>
      <c r="E25" s="95" t="s">
        <v>59</v>
      </c>
      <c r="F25" s="96" t="s">
        <v>3</v>
      </c>
      <c r="G25" s="95" t="s">
        <v>99</v>
      </c>
      <c r="H25" s="94" t="s">
        <v>1</v>
      </c>
      <c r="I25" s="97" t="s">
        <v>4</v>
      </c>
      <c r="J25" s="96" t="s">
        <v>27</v>
      </c>
      <c r="K25" s="97" t="s">
        <v>28</v>
      </c>
      <c r="L25" s="32"/>
      <c r="M25" s="55" t="s">
        <v>95</v>
      </c>
      <c r="N25" s="53">
        <f t="shared" si="3"/>
        <v>4</v>
      </c>
      <c r="O25" s="53">
        <f t="shared" si="4"/>
        <v>4</v>
      </c>
      <c r="P25" s="53">
        <f t="shared" si="5"/>
        <v>6</v>
      </c>
      <c r="Q25" s="53">
        <f t="shared" si="6"/>
        <v>4</v>
      </c>
      <c r="R25" s="54">
        <f t="shared" si="0"/>
        <v>18</v>
      </c>
      <c r="S25" s="53">
        <f t="shared" si="2"/>
        <v>13</v>
      </c>
      <c r="T25" s="2"/>
      <c r="V25" s="96" t="s">
        <v>27</v>
      </c>
      <c r="W25" s="97" t="s">
        <v>28</v>
      </c>
    </row>
    <row r="26" spans="3:23" ht="15.75" x14ac:dyDescent="0.25">
      <c r="C26" s="88">
        <v>44484</v>
      </c>
      <c r="D26" s="96" t="s">
        <v>12</v>
      </c>
      <c r="E26" s="95" t="s">
        <v>59</v>
      </c>
      <c r="F26" s="94" t="s">
        <v>26</v>
      </c>
      <c r="G26" s="95" t="s">
        <v>99</v>
      </c>
      <c r="H26" s="94" t="s">
        <v>1</v>
      </c>
      <c r="I26" s="97" t="s">
        <v>4</v>
      </c>
      <c r="J26" s="96" t="s">
        <v>27</v>
      </c>
      <c r="K26" s="97" t="s">
        <v>6</v>
      </c>
      <c r="L26" s="32"/>
      <c r="M26" s="55" t="s">
        <v>99</v>
      </c>
      <c r="N26" s="53">
        <f t="shared" si="3"/>
        <v>4</v>
      </c>
      <c r="O26" s="53">
        <f t="shared" si="4"/>
        <v>4</v>
      </c>
      <c r="P26" s="53">
        <f t="shared" si="5"/>
        <v>4</v>
      </c>
      <c r="Q26" s="53">
        <f t="shared" si="6"/>
        <v>6</v>
      </c>
      <c r="R26" s="54">
        <f t="shared" si="0"/>
        <v>18</v>
      </c>
      <c r="S26" s="53">
        <f t="shared" si="2"/>
        <v>13</v>
      </c>
      <c r="T26" s="2"/>
      <c r="V26" s="96" t="s">
        <v>27</v>
      </c>
      <c r="W26" s="97" t="s">
        <v>28</v>
      </c>
    </row>
    <row r="27" spans="3:23" x14ac:dyDescent="0.25">
      <c r="C27" s="88">
        <v>44485</v>
      </c>
      <c r="D27" s="96" t="s">
        <v>12</v>
      </c>
      <c r="E27" s="95" t="s">
        <v>95</v>
      </c>
      <c r="F27" s="94" t="s">
        <v>26</v>
      </c>
      <c r="G27" s="95" t="s">
        <v>99</v>
      </c>
      <c r="H27" s="96" t="s">
        <v>0</v>
      </c>
      <c r="I27" s="97" t="s">
        <v>4</v>
      </c>
      <c r="J27" s="96" t="s">
        <v>27</v>
      </c>
      <c r="K27" s="97" t="s">
        <v>6</v>
      </c>
      <c r="L27" s="32"/>
      <c r="M27" s="35"/>
      <c r="N27" s="35"/>
      <c r="O27" s="35"/>
      <c r="P27" s="35"/>
      <c r="Q27" s="35"/>
      <c r="V27" s="96" t="s">
        <v>27</v>
      </c>
      <c r="W27" s="97" t="s">
        <v>28</v>
      </c>
    </row>
    <row r="28" spans="3:23" x14ac:dyDescent="0.25">
      <c r="C28" s="88">
        <v>44486</v>
      </c>
      <c r="D28" s="96" t="s">
        <v>12</v>
      </c>
      <c r="E28" s="95" t="s">
        <v>95</v>
      </c>
      <c r="F28" s="94" t="s">
        <v>26</v>
      </c>
      <c r="G28" s="97" t="s">
        <v>10</v>
      </c>
      <c r="H28" s="96" t="s">
        <v>0</v>
      </c>
      <c r="I28" s="97" t="s">
        <v>4</v>
      </c>
      <c r="J28" s="96" t="s">
        <v>8</v>
      </c>
      <c r="K28" s="97" t="s">
        <v>6</v>
      </c>
      <c r="L28" s="32"/>
      <c r="M28" s="189" t="s">
        <v>101</v>
      </c>
      <c r="N28" s="189"/>
      <c r="O28" s="189"/>
      <c r="P28" s="189"/>
      <c r="Q28" s="189"/>
      <c r="R28" s="189"/>
      <c r="S28" s="189"/>
      <c r="T28" s="189"/>
      <c r="V28" s="96" t="s">
        <v>27</v>
      </c>
      <c r="W28" s="97" t="s">
        <v>28</v>
      </c>
    </row>
    <row r="29" spans="3:23" x14ac:dyDescent="0.25">
      <c r="C29" s="88">
        <v>44487</v>
      </c>
      <c r="D29" s="96" t="s">
        <v>3</v>
      </c>
      <c r="E29" s="95" t="s">
        <v>95</v>
      </c>
      <c r="F29" s="94" t="s">
        <v>26</v>
      </c>
      <c r="G29" s="97" t="s">
        <v>10</v>
      </c>
      <c r="H29" s="96" t="s">
        <v>0</v>
      </c>
      <c r="I29" s="97" t="s">
        <v>28</v>
      </c>
      <c r="J29" s="96" t="s">
        <v>8</v>
      </c>
      <c r="K29" s="97" t="s">
        <v>6</v>
      </c>
      <c r="L29" s="32"/>
      <c r="M29" s="189"/>
      <c r="N29" s="189"/>
      <c r="O29" s="189"/>
      <c r="P29" s="189"/>
      <c r="Q29" s="189"/>
      <c r="R29" s="189"/>
      <c r="S29" s="189"/>
      <c r="T29" s="189"/>
      <c r="V29" s="96" t="s">
        <v>8</v>
      </c>
      <c r="W29" s="97" t="s">
        <v>6</v>
      </c>
    </row>
    <row r="30" spans="3:23" x14ac:dyDescent="0.25">
      <c r="C30" s="88">
        <v>44488</v>
      </c>
      <c r="D30" s="96" t="s">
        <v>3</v>
      </c>
      <c r="E30" s="95" t="s">
        <v>95</v>
      </c>
      <c r="F30" s="94" t="s">
        <v>1</v>
      </c>
      <c r="G30" s="97" t="s">
        <v>10</v>
      </c>
      <c r="H30" s="96" t="s">
        <v>0</v>
      </c>
      <c r="I30" s="97" t="s">
        <v>28</v>
      </c>
      <c r="J30" s="96" t="s">
        <v>8</v>
      </c>
      <c r="K30" s="97" t="s">
        <v>59</v>
      </c>
      <c r="L30" s="32"/>
      <c r="M30" s="103"/>
      <c r="N30" s="104">
        <v>31</v>
      </c>
      <c r="O30" s="104">
        <v>30</v>
      </c>
      <c r="P30" s="104">
        <v>28</v>
      </c>
      <c r="Q30" s="1"/>
      <c r="R30" s="105">
        <v>31</v>
      </c>
      <c r="S30" s="105">
        <v>30</v>
      </c>
      <c r="T30" s="105">
        <v>28</v>
      </c>
      <c r="V30" s="96" t="s">
        <v>8</v>
      </c>
      <c r="W30" s="97" t="s">
        <v>6</v>
      </c>
    </row>
    <row r="31" spans="3:23" ht="15.75" x14ac:dyDescent="0.25">
      <c r="C31" s="88">
        <v>44489</v>
      </c>
      <c r="D31" s="96" t="s">
        <v>3</v>
      </c>
      <c r="E31" s="95" t="s">
        <v>99</v>
      </c>
      <c r="F31" s="94" t="s">
        <v>1</v>
      </c>
      <c r="G31" s="97" t="s">
        <v>10</v>
      </c>
      <c r="H31" s="96" t="s">
        <v>27</v>
      </c>
      <c r="I31" s="97" t="s">
        <v>28</v>
      </c>
      <c r="J31" s="96" t="s">
        <v>8</v>
      </c>
      <c r="K31" s="97" t="s">
        <v>59</v>
      </c>
      <c r="L31" s="32"/>
      <c r="M31" s="106" t="s">
        <v>26</v>
      </c>
      <c r="N31" s="1" t="s">
        <v>102</v>
      </c>
      <c r="O31" s="1" t="s">
        <v>103</v>
      </c>
      <c r="P31" s="1" t="s">
        <v>104</v>
      </c>
      <c r="Q31" s="47" t="s">
        <v>26</v>
      </c>
      <c r="R31" s="5" t="s">
        <v>8</v>
      </c>
      <c r="S31" s="5" t="s">
        <v>8</v>
      </c>
      <c r="T31" s="5" t="s">
        <v>27</v>
      </c>
      <c r="V31" s="96" t="s">
        <v>8</v>
      </c>
      <c r="W31" s="97" t="s">
        <v>6</v>
      </c>
    </row>
    <row r="32" spans="3:23" x14ac:dyDescent="0.25">
      <c r="C32" s="88">
        <v>44490</v>
      </c>
      <c r="D32" s="96" t="s">
        <v>3</v>
      </c>
      <c r="E32" s="95" t="s">
        <v>99</v>
      </c>
      <c r="F32" s="94" t="s">
        <v>1</v>
      </c>
      <c r="G32" s="97" t="s">
        <v>4</v>
      </c>
      <c r="H32" s="96" t="s">
        <v>27</v>
      </c>
      <c r="I32" s="97" t="s">
        <v>28</v>
      </c>
      <c r="J32" s="96" t="s">
        <v>12</v>
      </c>
      <c r="K32" s="97" t="s">
        <v>59</v>
      </c>
      <c r="L32" s="32"/>
      <c r="M32" s="48" t="s">
        <v>1</v>
      </c>
      <c r="N32" s="1" t="s">
        <v>105</v>
      </c>
      <c r="O32" s="1" t="s">
        <v>105</v>
      </c>
      <c r="P32" s="1" t="s">
        <v>103</v>
      </c>
      <c r="Q32" s="48" t="s">
        <v>1</v>
      </c>
      <c r="R32" s="5" t="s">
        <v>12</v>
      </c>
      <c r="S32" s="5" t="s">
        <v>27</v>
      </c>
      <c r="T32" s="5" t="s">
        <v>8</v>
      </c>
      <c r="V32" s="96" t="s">
        <v>8</v>
      </c>
      <c r="W32" s="97" t="s">
        <v>6</v>
      </c>
    </row>
    <row r="33" spans="3:23" x14ac:dyDescent="0.25">
      <c r="C33" s="88">
        <v>44491</v>
      </c>
      <c r="D33" s="94" t="s">
        <v>26</v>
      </c>
      <c r="E33" s="95" t="s">
        <v>99</v>
      </c>
      <c r="F33" s="94" t="s">
        <v>1</v>
      </c>
      <c r="G33" s="97" t="s">
        <v>4</v>
      </c>
      <c r="H33" s="96" t="s">
        <v>27</v>
      </c>
      <c r="I33" s="97" t="s">
        <v>6</v>
      </c>
      <c r="J33" s="96" t="s">
        <v>12</v>
      </c>
      <c r="K33" s="97" t="s">
        <v>59</v>
      </c>
      <c r="L33" s="34"/>
      <c r="M33" s="48" t="s">
        <v>0</v>
      </c>
      <c r="N33" s="1" t="s">
        <v>106</v>
      </c>
      <c r="O33" s="1" t="s">
        <v>107</v>
      </c>
      <c r="P33" s="1" t="s">
        <v>108</v>
      </c>
      <c r="Q33" s="48" t="s">
        <v>0</v>
      </c>
      <c r="R33" s="5" t="s">
        <v>26</v>
      </c>
      <c r="S33" s="5" t="s">
        <v>12</v>
      </c>
      <c r="T33" s="5" t="s">
        <v>12</v>
      </c>
      <c r="V33" s="96" t="s">
        <v>12</v>
      </c>
      <c r="W33" s="97" t="s">
        <v>59</v>
      </c>
    </row>
    <row r="34" spans="3:23" x14ac:dyDescent="0.25">
      <c r="C34" s="88">
        <v>44492</v>
      </c>
      <c r="D34" s="94" t="s">
        <v>26</v>
      </c>
      <c r="E34" s="95" t="s">
        <v>99</v>
      </c>
      <c r="F34" s="96" t="s">
        <v>0</v>
      </c>
      <c r="G34" s="97" t="s">
        <v>4</v>
      </c>
      <c r="H34" s="96" t="s">
        <v>27</v>
      </c>
      <c r="I34" s="97" t="s">
        <v>6</v>
      </c>
      <c r="J34" s="96" t="s">
        <v>12</v>
      </c>
      <c r="K34" s="97" t="s">
        <v>95</v>
      </c>
      <c r="L34" s="32"/>
      <c r="M34" s="48" t="s">
        <v>27</v>
      </c>
      <c r="N34" s="1" t="s">
        <v>109</v>
      </c>
      <c r="O34" s="1" t="s">
        <v>103</v>
      </c>
      <c r="P34" s="1" t="s">
        <v>110</v>
      </c>
      <c r="Q34" s="48" t="s">
        <v>27</v>
      </c>
      <c r="R34" s="5" t="s">
        <v>1</v>
      </c>
      <c r="S34" s="5" t="s">
        <v>3</v>
      </c>
      <c r="T34" s="5" t="s">
        <v>3</v>
      </c>
      <c r="V34" s="96" t="s">
        <v>12</v>
      </c>
      <c r="W34" s="97" t="s">
        <v>59</v>
      </c>
    </row>
    <row r="35" spans="3:23" x14ac:dyDescent="0.25">
      <c r="C35" s="88">
        <v>44493</v>
      </c>
      <c r="D35" s="94" t="s">
        <v>26</v>
      </c>
      <c r="E35" s="97" t="s">
        <v>10</v>
      </c>
      <c r="F35" s="96" t="s">
        <v>0</v>
      </c>
      <c r="G35" s="97" t="s">
        <v>4</v>
      </c>
      <c r="H35" s="96" t="s">
        <v>8</v>
      </c>
      <c r="I35" s="97" t="s">
        <v>6</v>
      </c>
      <c r="J35" s="96" t="s">
        <v>12</v>
      </c>
      <c r="K35" s="97" t="s">
        <v>95</v>
      </c>
      <c r="L35" s="32"/>
      <c r="M35" s="48" t="s">
        <v>8</v>
      </c>
      <c r="N35" s="1" t="s">
        <v>111</v>
      </c>
      <c r="O35" s="1" t="s">
        <v>112</v>
      </c>
      <c r="P35" s="1" t="s">
        <v>112</v>
      </c>
      <c r="Q35" s="48" t="s">
        <v>8</v>
      </c>
      <c r="R35" s="5" t="s">
        <v>0</v>
      </c>
      <c r="S35" s="5" t="s">
        <v>26</v>
      </c>
      <c r="T35" s="5" t="s">
        <v>1</v>
      </c>
      <c r="V35" s="96" t="s">
        <v>12</v>
      </c>
      <c r="W35" s="97" t="s">
        <v>59</v>
      </c>
    </row>
    <row r="36" spans="3:23" x14ac:dyDescent="0.25">
      <c r="C36" s="88">
        <v>44494</v>
      </c>
      <c r="D36" s="94" t="s">
        <v>26</v>
      </c>
      <c r="E36" s="97" t="s">
        <v>10</v>
      </c>
      <c r="F36" s="96" t="s">
        <v>0</v>
      </c>
      <c r="G36" s="97" t="s">
        <v>28</v>
      </c>
      <c r="H36" s="96" t="s">
        <v>8</v>
      </c>
      <c r="I36" s="97" t="s">
        <v>6</v>
      </c>
      <c r="J36" s="96" t="s">
        <v>3</v>
      </c>
      <c r="K36" s="97" t="s">
        <v>95</v>
      </c>
      <c r="L36" s="32"/>
      <c r="M36" s="48" t="s">
        <v>12</v>
      </c>
      <c r="N36" s="1" t="s">
        <v>113</v>
      </c>
      <c r="O36" s="1" t="s">
        <v>103</v>
      </c>
      <c r="P36" s="1" t="s">
        <v>114</v>
      </c>
      <c r="Q36" s="48" t="s">
        <v>12</v>
      </c>
      <c r="R36" s="5" t="s">
        <v>3</v>
      </c>
      <c r="S36" s="5" t="s">
        <v>0</v>
      </c>
      <c r="T36" s="5" t="s">
        <v>26</v>
      </c>
      <c r="V36" s="96" t="s">
        <v>12</v>
      </c>
      <c r="W36" s="97" t="s">
        <v>59</v>
      </c>
    </row>
    <row r="37" spans="3:23" x14ac:dyDescent="0.25">
      <c r="C37" s="88">
        <v>44495</v>
      </c>
      <c r="D37" s="94" t="s">
        <v>1</v>
      </c>
      <c r="E37" s="97" t="s">
        <v>10</v>
      </c>
      <c r="F37" s="96" t="s">
        <v>0</v>
      </c>
      <c r="G37" s="97" t="s">
        <v>28</v>
      </c>
      <c r="H37" s="96" t="s">
        <v>8</v>
      </c>
      <c r="I37" s="95" t="s">
        <v>59</v>
      </c>
      <c r="J37" s="96" t="s">
        <v>3</v>
      </c>
      <c r="K37" s="97" t="s">
        <v>95</v>
      </c>
      <c r="L37" s="32"/>
      <c r="M37" s="107" t="s">
        <v>3</v>
      </c>
      <c r="N37" s="101" t="s">
        <v>115</v>
      </c>
      <c r="O37" s="102" t="s">
        <v>115</v>
      </c>
      <c r="P37" s="102" t="s">
        <v>116</v>
      </c>
      <c r="Q37" s="48" t="s">
        <v>3</v>
      </c>
      <c r="R37" s="5" t="s">
        <v>27</v>
      </c>
      <c r="S37" s="5" t="s">
        <v>1</v>
      </c>
      <c r="T37" s="5" t="s">
        <v>0</v>
      </c>
      <c r="V37" s="96" t="s">
        <v>3</v>
      </c>
      <c r="W37" s="97" t="s">
        <v>95</v>
      </c>
    </row>
    <row r="38" spans="3:23" x14ac:dyDescent="0.25">
      <c r="C38" s="88">
        <v>44496</v>
      </c>
      <c r="D38" s="94" t="s">
        <v>1</v>
      </c>
      <c r="E38" s="97" t="s">
        <v>10</v>
      </c>
      <c r="F38" s="96" t="s">
        <v>27</v>
      </c>
      <c r="G38" s="97" t="s">
        <v>28</v>
      </c>
      <c r="H38" s="96" t="s">
        <v>8</v>
      </c>
      <c r="I38" s="95" t="s">
        <v>59</v>
      </c>
      <c r="J38" s="96" t="s">
        <v>3</v>
      </c>
      <c r="K38" s="97" t="s">
        <v>99</v>
      </c>
      <c r="L38" s="32"/>
      <c r="M38" s="51" t="s">
        <v>10</v>
      </c>
      <c r="N38" s="190" t="s">
        <v>117</v>
      </c>
      <c r="O38" s="190"/>
      <c r="P38" s="190"/>
      <c r="Q38" s="1"/>
      <c r="R38" s="104"/>
      <c r="S38" s="104"/>
      <c r="T38" s="104"/>
      <c r="V38" s="96" t="s">
        <v>3</v>
      </c>
      <c r="W38" s="97" t="s">
        <v>95</v>
      </c>
    </row>
    <row r="39" spans="3:23" x14ac:dyDescent="0.25">
      <c r="C39" s="88">
        <v>44497</v>
      </c>
      <c r="D39" s="94" t="s">
        <v>1</v>
      </c>
      <c r="E39" s="97" t="s">
        <v>4</v>
      </c>
      <c r="F39" s="96" t="s">
        <v>27</v>
      </c>
      <c r="G39" s="97" t="s">
        <v>28</v>
      </c>
      <c r="H39" s="96" t="s">
        <v>12</v>
      </c>
      <c r="I39" s="95" t="s">
        <v>59</v>
      </c>
      <c r="J39" s="96" t="s">
        <v>3</v>
      </c>
      <c r="K39" s="97" t="s">
        <v>99</v>
      </c>
      <c r="L39" s="32"/>
      <c r="M39" s="51" t="s">
        <v>4</v>
      </c>
      <c r="N39" s="190"/>
      <c r="O39" s="190"/>
      <c r="P39" s="190"/>
      <c r="Q39" s="1"/>
      <c r="V39" s="96" t="s">
        <v>3</v>
      </c>
      <c r="W39" s="97" t="s">
        <v>95</v>
      </c>
    </row>
    <row r="40" spans="3:23" x14ac:dyDescent="0.25">
      <c r="C40" s="88">
        <v>44498</v>
      </c>
      <c r="D40" s="94" t="s">
        <v>1</v>
      </c>
      <c r="E40" s="97" t="s">
        <v>4</v>
      </c>
      <c r="F40" s="94" t="s">
        <v>27</v>
      </c>
      <c r="G40" s="97" t="s">
        <v>6</v>
      </c>
      <c r="H40" s="96" t="s">
        <v>12</v>
      </c>
      <c r="I40" s="95" t="s">
        <v>59</v>
      </c>
      <c r="J40" s="96" t="s">
        <v>26</v>
      </c>
      <c r="K40" s="97" t="s">
        <v>99</v>
      </c>
      <c r="L40" s="32"/>
      <c r="M40" s="51" t="s">
        <v>28</v>
      </c>
      <c r="N40" s="190"/>
      <c r="O40" s="190"/>
      <c r="P40" s="190"/>
      <c r="Q40" s="1"/>
      <c r="V40" s="96" t="s">
        <v>3</v>
      </c>
      <c r="W40" s="97" t="s">
        <v>95</v>
      </c>
    </row>
    <row r="41" spans="3:23" x14ac:dyDescent="0.25">
      <c r="C41" s="88">
        <v>44499</v>
      </c>
      <c r="D41" s="94" t="s">
        <v>0</v>
      </c>
      <c r="E41" s="97" t="s">
        <v>4</v>
      </c>
      <c r="F41" s="94" t="s">
        <v>27</v>
      </c>
      <c r="G41" s="97" t="s">
        <v>6</v>
      </c>
      <c r="H41" s="96" t="s">
        <v>12</v>
      </c>
      <c r="I41" s="95" t="s">
        <v>95</v>
      </c>
      <c r="J41" s="96" t="s">
        <v>26</v>
      </c>
      <c r="K41" s="97" t="s">
        <v>99</v>
      </c>
      <c r="L41" s="32"/>
      <c r="M41" s="55" t="s">
        <v>6</v>
      </c>
      <c r="N41" s="190"/>
      <c r="O41" s="190"/>
      <c r="P41" s="190"/>
      <c r="Q41" s="1"/>
      <c r="V41" s="96" t="s">
        <v>26</v>
      </c>
      <c r="W41" s="97" t="s">
        <v>99</v>
      </c>
    </row>
    <row r="42" spans="3:23" x14ac:dyDescent="0.25">
      <c r="C42" s="88">
        <v>44500</v>
      </c>
      <c r="D42" s="94" t="s">
        <v>0</v>
      </c>
      <c r="E42" s="97" t="s">
        <v>4</v>
      </c>
      <c r="F42" s="94" t="s">
        <v>8</v>
      </c>
      <c r="G42" s="97" t="s">
        <v>6</v>
      </c>
      <c r="H42" s="96" t="s">
        <v>12</v>
      </c>
      <c r="I42" s="95" t="s">
        <v>95</v>
      </c>
      <c r="J42" s="96" t="s">
        <v>26</v>
      </c>
      <c r="K42" s="97" t="s">
        <v>10</v>
      </c>
      <c r="L42" s="32"/>
      <c r="M42" s="55" t="s">
        <v>59</v>
      </c>
      <c r="N42" s="190"/>
      <c r="O42" s="190"/>
      <c r="P42" s="190"/>
      <c r="Q42" s="1"/>
      <c r="V42" s="96" t="s">
        <v>26</v>
      </c>
      <c r="W42" s="97" t="s">
        <v>99</v>
      </c>
    </row>
    <row r="43" spans="3:23" x14ac:dyDescent="0.25">
      <c r="C43" s="36"/>
      <c r="D43"/>
      <c r="E43"/>
      <c r="F43"/>
      <c r="G43"/>
      <c r="H43"/>
      <c r="I43"/>
      <c r="J43"/>
      <c r="K43"/>
      <c r="M43" s="51" t="s">
        <v>95</v>
      </c>
      <c r="N43" s="190"/>
      <c r="O43" s="190"/>
      <c r="P43" s="190"/>
      <c r="Q43" s="1"/>
      <c r="V43" s="96" t="s">
        <v>26</v>
      </c>
      <c r="W43" s="97" t="s">
        <v>99</v>
      </c>
    </row>
    <row r="44" spans="3:23" x14ac:dyDescent="0.25">
      <c r="D44"/>
      <c r="E44"/>
      <c r="F44"/>
      <c r="G44"/>
      <c r="H44"/>
      <c r="I44"/>
      <c r="J44"/>
      <c r="K44"/>
      <c r="M44" s="51" t="s">
        <v>99</v>
      </c>
      <c r="N44" s="190"/>
      <c r="O44" s="190"/>
      <c r="P44" s="190"/>
      <c r="V44" s="96" t="s">
        <v>26</v>
      </c>
      <c r="W44" s="97" t="s">
        <v>99</v>
      </c>
    </row>
    <row r="45" spans="3:23" x14ac:dyDescent="0.25">
      <c r="D45"/>
      <c r="E45"/>
      <c r="F45"/>
      <c r="G45"/>
      <c r="H45"/>
      <c r="I45"/>
      <c r="J45"/>
      <c r="K45"/>
      <c r="V45" s="96" t="s">
        <v>1</v>
      </c>
      <c r="W45" s="97" t="s">
        <v>10</v>
      </c>
    </row>
    <row r="46" spans="3:23" x14ac:dyDescent="0.25">
      <c r="D46"/>
      <c r="E46"/>
      <c r="F46"/>
      <c r="G46"/>
      <c r="H46"/>
      <c r="I46"/>
      <c r="J46"/>
      <c r="K46"/>
      <c r="V46" s="96" t="s">
        <v>1</v>
      </c>
      <c r="W46" s="97" t="s">
        <v>10</v>
      </c>
    </row>
    <row r="47" spans="3:23" x14ac:dyDescent="0.25">
      <c r="D47"/>
      <c r="E47"/>
      <c r="F47"/>
      <c r="G47"/>
      <c r="H47"/>
      <c r="I47"/>
      <c r="J47"/>
      <c r="K47"/>
      <c r="M47" s="189" t="s">
        <v>118</v>
      </c>
      <c r="N47" s="189"/>
      <c r="O47" s="189"/>
      <c r="P47" s="189"/>
      <c r="Q47" s="189"/>
      <c r="R47" s="189"/>
      <c r="S47" s="189"/>
      <c r="T47" s="189"/>
      <c r="V47" s="96" t="s">
        <v>1</v>
      </c>
      <c r="W47" s="97" t="s">
        <v>10</v>
      </c>
    </row>
    <row r="48" spans="3:23" x14ac:dyDescent="0.25">
      <c r="M48" s="189"/>
      <c r="N48" s="189"/>
      <c r="O48" s="189"/>
      <c r="P48" s="189"/>
      <c r="Q48" s="189"/>
      <c r="R48" s="189"/>
      <c r="S48" s="189"/>
      <c r="T48" s="189"/>
      <c r="V48" s="96" t="s">
        <v>1</v>
      </c>
      <c r="W48" s="97" t="s">
        <v>10</v>
      </c>
    </row>
    <row r="49" spans="13:23" x14ac:dyDescent="0.25">
      <c r="M49" s="103"/>
      <c r="N49" s="104">
        <v>31</v>
      </c>
      <c r="O49" s="104">
        <v>30</v>
      </c>
      <c r="P49" s="104">
        <v>28</v>
      </c>
      <c r="Q49" s="1"/>
      <c r="R49" s="105">
        <v>31</v>
      </c>
      <c r="S49" s="105">
        <v>30</v>
      </c>
      <c r="T49" s="105">
        <v>28</v>
      </c>
      <c r="V49" s="96" t="s">
        <v>0</v>
      </c>
      <c r="W49" s="97" t="s">
        <v>4</v>
      </c>
    </row>
    <row r="50" spans="13:23" ht="15.75" x14ac:dyDescent="0.25">
      <c r="M50" s="106" t="s">
        <v>26</v>
      </c>
      <c r="N50" s="1" t="s">
        <v>119</v>
      </c>
      <c r="O50" s="1" t="s">
        <v>77</v>
      </c>
      <c r="P50" s="1" t="s">
        <v>76</v>
      </c>
      <c r="Q50" s="47" t="s">
        <v>26</v>
      </c>
      <c r="R50" s="5" t="s">
        <v>0</v>
      </c>
      <c r="S50" s="5" t="s">
        <v>8</v>
      </c>
      <c r="T50" s="5" t="s">
        <v>8</v>
      </c>
      <c r="V50" s="96" t="s">
        <v>0</v>
      </c>
      <c r="W50" s="97" t="s">
        <v>4</v>
      </c>
    </row>
    <row r="51" spans="13:23" x14ac:dyDescent="0.25">
      <c r="M51" s="48" t="s">
        <v>1</v>
      </c>
      <c r="N51" s="1" t="s">
        <v>80</v>
      </c>
      <c r="O51" s="1" t="s">
        <v>80</v>
      </c>
      <c r="P51" s="1" t="s">
        <v>78</v>
      </c>
      <c r="Q51" s="48" t="s">
        <v>1</v>
      </c>
      <c r="R51" s="5" t="s">
        <v>27</v>
      </c>
      <c r="S51" s="5" t="s">
        <v>27</v>
      </c>
      <c r="T51" s="5" t="s">
        <v>12</v>
      </c>
      <c r="V51" s="96" t="s">
        <v>0</v>
      </c>
      <c r="W51" s="97" t="s">
        <v>4</v>
      </c>
    </row>
    <row r="52" spans="13:23" x14ac:dyDescent="0.25">
      <c r="M52" s="48" t="s">
        <v>0</v>
      </c>
      <c r="N52" s="1" t="s">
        <v>120</v>
      </c>
      <c r="O52" s="1" t="s">
        <v>121</v>
      </c>
      <c r="P52" s="1" t="s">
        <v>81</v>
      </c>
      <c r="Q52" s="48" t="s">
        <v>0</v>
      </c>
      <c r="R52" s="5" t="s">
        <v>12</v>
      </c>
      <c r="S52" s="5" t="s">
        <v>26</v>
      </c>
      <c r="T52" s="5" t="s">
        <v>27</v>
      </c>
      <c r="V52" s="96" t="s">
        <v>0</v>
      </c>
      <c r="W52" s="97" t="s">
        <v>4</v>
      </c>
    </row>
    <row r="53" spans="13:23" x14ac:dyDescent="0.25">
      <c r="M53" s="48" t="s">
        <v>27</v>
      </c>
      <c r="N53" s="1" t="s">
        <v>122</v>
      </c>
      <c r="O53" s="1" t="s">
        <v>119</v>
      </c>
      <c r="P53" s="1" t="s">
        <v>123</v>
      </c>
      <c r="Q53" s="48" t="s">
        <v>27</v>
      </c>
      <c r="R53" s="5" t="s">
        <v>26</v>
      </c>
      <c r="S53" s="5" t="s">
        <v>12</v>
      </c>
      <c r="T53" s="5" t="s">
        <v>0</v>
      </c>
      <c r="V53" s="96" t="s">
        <v>27</v>
      </c>
      <c r="W53" s="97" t="s">
        <v>28</v>
      </c>
    </row>
    <row r="54" spans="13:23" x14ac:dyDescent="0.25">
      <c r="M54" s="48" t="s">
        <v>8</v>
      </c>
      <c r="N54" s="1" t="s">
        <v>87</v>
      </c>
      <c r="O54" s="1" t="s">
        <v>87</v>
      </c>
      <c r="P54" s="1" t="s">
        <v>87</v>
      </c>
      <c r="Q54" s="48" t="s">
        <v>8</v>
      </c>
      <c r="R54" s="5" t="s">
        <v>1</v>
      </c>
      <c r="S54" s="5" t="s">
        <v>1</v>
      </c>
      <c r="T54" s="5" t="s">
        <v>1</v>
      </c>
      <c r="V54" s="96" t="s">
        <v>27</v>
      </c>
      <c r="W54" s="97" t="s">
        <v>28</v>
      </c>
    </row>
    <row r="55" spans="13:23" x14ac:dyDescent="0.25">
      <c r="M55" s="48" t="s">
        <v>12</v>
      </c>
      <c r="N55" s="1" t="s">
        <v>89</v>
      </c>
      <c r="O55" s="1" t="s">
        <v>116</v>
      </c>
      <c r="P55" s="1" t="s">
        <v>124</v>
      </c>
      <c r="Q55" s="48" t="s">
        <v>12</v>
      </c>
      <c r="R55" s="5" t="s">
        <v>8</v>
      </c>
      <c r="S55" s="5" t="s">
        <v>0</v>
      </c>
      <c r="T55" s="5" t="s">
        <v>26</v>
      </c>
      <c r="V55" s="96" t="s">
        <v>27</v>
      </c>
      <c r="W55" s="97" t="s">
        <v>28</v>
      </c>
    </row>
    <row r="56" spans="13:23" x14ac:dyDescent="0.25">
      <c r="M56" s="51" t="s">
        <v>10</v>
      </c>
      <c r="N56" s="190" t="s">
        <v>117</v>
      </c>
      <c r="O56" s="190"/>
      <c r="P56" s="190"/>
      <c r="Q56" s="1"/>
      <c r="R56" s="104"/>
      <c r="S56" s="104"/>
      <c r="T56" s="104"/>
      <c r="V56" s="96" t="s">
        <v>27</v>
      </c>
      <c r="W56" s="97" t="s">
        <v>28</v>
      </c>
    </row>
    <row r="57" spans="13:23" x14ac:dyDescent="0.25">
      <c r="M57" s="51" t="s">
        <v>4</v>
      </c>
      <c r="N57" s="190"/>
      <c r="O57" s="190"/>
      <c r="P57" s="190"/>
      <c r="Q57" s="1"/>
      <c r="V57" s="96" t="s">
        <v>8</v>
      </c>
      <c r="W57" s="97" t="s">
        <v>6</v>
      </c>
    </row>
    <row r="58" spans="13:23" x14ac:dyDescent="0.25">
      <c r="M58" s="51" t="s">
        <v>28</v>
      </c>
      <c r="N58" s="190"/>
      <c r="O58" s="190"/>
      <c r="P58" s="190"/>
      <c r="Q58" s="1"/>
      <c r="V58" s="96" t="s">
        <v>8</v>
      </c>
      <c r="W58" s="97" t="s">
        <v>6</v>
      </c>
    </row>
    <row r="59" spans="13:23" x14ac:dyDescent="0.25">
      <c r="M59" s="55" t="s">
        <v>6</v>
      </c>
      <c r="N59" s="190"/>
      <c r="O59" s="190"/>
      <c r="P59" s="190"/>
      <c r="Q59" s="1"/>
      <c r="V59" s="96" t="s">
        <v>8</v>
      </c>
      <c r="W59" s="97" t="s">
        <v>6</v>
      </c>
    </row>
    <row r="60" spans="13:23" x14ac:dyDescent="0.25">
      <c r="M60" s="55" t="s">
        <v>59</v>
      </c>
      <c r="N60" s="190"/>
      <c r="O60" s="190"/>
      <c r="P60" s="190"/>
      <c r="Q60" s="1"/>
      <c r="V60" s="96" t="s">
        <v>8</v>
      </c>
      <c r="W60" s="97" t="s">
        <v>6</v>
      </c>
    </row>
    <row r="61" spans="13:23" x14ac:dyDescent="0.25">
      <c r="M61" s="51" t="s">
        <v>95</v>
      </c>
      <c r="N61" s="190"/>
      <c r="O61" s="190"/>
      <c r="P61" s="190"/>
      <c r="Q61" s="1"/>
      <c r="V61" s="96" t="s">
        <v>12</v>
      </c>
      <c r="W61" s="97" t="s">
        <v>59</v>
      </c>
    </row>
    <row r="62" spans="13:23" x14ac:dyDescent="0.25">
      <c r="M62" s="51" t="s">
        <v>99</v>
      </c>
      <c r="N62" s="190"/>
      <c r="O62" s="190"/>
      <c r="P62" s="190"/>
      <c r="V62" s="96" t="s">
        <v>12</v>
      </c>
      <c r="W62" s="97" t="s">
        <v>59</v>
      </c>
    </row>
    <row r="63" spans="13:23" x14ac:dyDescent="0.25">
      <c r="V63" s="96" t="s">
        <v>12</v>
      </c>
      <c r="W63" s="97" t="s">
        <v>59</v>
      </c>
    </row>
    <row r="64" spans="13:23" x14ac:dyDescent="0.25">
      <c r="V64" s="96" t="s">
        <v>12</v>
      </c>
      <c r="W64" s="97" t="s">
        <v>59</v>
      </c>
    </row>
    <row r="65" spans="22:23" x14ac:dyDescent="0.25">
      <c r="V65" s="96" t="s">
        <v>3</v>
      </c>
      <c r="W65" s="97" t="s">
        <v>95</v>
      </c>
    </row>
    <row r="66" spans="22:23" x14ac:dyDescent="0.25">
      <c r="V66" s="96" t="s">
        <v>3</v>
      </c>
      <c r="W66" s="97" t="s">
        <v>95</v>
      </c>
    </row>
    <row r="67" spans="22:23" x14ac:dyDescent="0.25">
      <c r="V67" s="96" t="s">
        <v>3</v>
      </c>
      <c r="W67" s="97" t="s">
        <v>95</v>
      </c>
    </row>
    <row r="68" spans="22:23" x14ac:dyDescent="0.25">
      <c r="V68" s="96" t="s">
        <v>3</v>
      </c>
      <c r="W68" s="97" t="s">
        <v>95</v>
      </c>
    </row>
    <row r="69" spans="22:23" x14ac:dyDescent="0.25">
      <c r="W69" s="97" t="s">
        <v>99</v>
      </c>
    </row>
    <row r="70" spans="22:23" x14ac:dyDescent="0.25">
      <c r="W70" s="97" t="s">
        <v>99</v>
      </c>
    </row>
    <row r="71" spans="22:23" x14ac:dyDescent="0.25">
      <c r="W71" s="97" t="s">
        <v>99</v>
      </c>
    </row>
    <row r="72" spans="22:23" x14ac:dyDescent="0.25">
      <c r="W72" s="97" t="s">
        <v>99</v>
      </c>
    </row>
    <row r="73" spans="22:23" x14ac:dyDescent="0.25">
      <c r="W73" s="97" t="s">
        <v>10</v>
      </c>
    </row>
    <row r="74" spans="22:23" x14ac:dyDescent="0.25">
      <c r="W74" s="97" t="s">
        <v>10</v>
      </c>
    </row>
    <row r="75" spans="22:23" x14ac:dyDescent="0.25">
      <c r="W75" s="97" t="s">
        <v>10</v>
      </c>
    </row>
    <row r="76" spans="22:23" x14ac:dyDescent="0.25">
      <c r="W76" s="97" t="s">
        <v>10</v>
      </c>
    </row>
    <row r="77" spans="22:23" x14ac:dyDescent="0.25">
      <c r="W77" s="97" t="s">
        <v>4</v>
      </c>
    </row>
    <row r="78" spans="22:23" x14ac:dyDescent="0.25">
      <c r="W78" s="97" t="s">
        <v>4</v>
      </c>
    </row>
    <row r="79" spans="22:23" x14ac:dyDescent="0.25">
      <c r="W79" s="97" t="s">
        <v>4</v>
      </c>
    </row>
    <row r="80" spans="22:23" x14ac:dyDescent="0.25">
      <c r="W80" s="97" t="s">
        <v>4</v>
      </c>
    </row>
    <row r="81" spans="23:23" x14ac:dyDescent="0.25">
      <c r="W81" s="97" t="s">
        <v>28</v>
      </c>
    </row>
    <row r="82" spans="23:23" x14ac:dyDescent="0.25">
      <c r="W82" s="97" t="s">
        <v>28</v>
      </c>
    </row>
    <row r="83" spans="23:23" x14ac:dyDescent="0.25">
      <c r="W83" s="97" t="s">
        <v>28</v>
      </c>
    </row>
    <row r="84" spans="23:23" x14ac:dyDescent="0.25">
      <c r="W84" s="97" t="s">
        <v>28</v>
      </c>
    </row>
    <row r="85" spans="23:23" x14ac:dyDescent="0.25">
      <c r="W85" s="97" t="s">
        <v>6</v>
      </c>
    </row>
    <row r="86" spans="23:23" x14ac:dyDescent="0.25">
      <c r="W86" s="97" t="s">
        <v>6</v>
      </c>
    </row>
    <row r="87" spans="23:23" x14ac:dyDescent="0.25">
      <c r="W87" s="97" t="s">
        <v>6</v>
      </c>
    </row>
    <row r="88" spans="23:23" x14ac:dyDescent="0.25">
      <c r="W88" s="97" t="s">
        <v>6</v>
      </c>
    </row>
    <row r="89" spans="23:23" x14ac:dyDescent="0.25">
      <c r="W89" s="97" t="s">
        <v>59</v>
      </c>
    </row>
    <row r="90" spans="23:23" x14ac:dyDescent="0.25">
      <c r="W90" s="97" t="s">
        <v>59</v>
      </c>
    </row>
    <row r="91" spans="23:23" x14ac:dyDescent="0.25">
      <c r="W91" s="97" t="s">
        <v>59</v>
      </c>
    </row>
    <row r="92" spans="23:23" x14ac:dyDescent="0.25">
      <c r="W92" s="97" t="s">
        <v>59</v>
      </c>
    </row>
    <row r="93" spans="23:23" x14ac:dyDescent="0.25">
      <c r="W93" s="97" t="s">
        <v>95</v>
      </c>
    </row>
    <row r="94" spans="23:23" x14ac:dyDescent="0.25">
      <c r="W94" s="97" t="s">
        <v>95</v>
      </c>
    </row>
    <row r="95" spans="23:23" x14ac:dyDescent="0.25">
      <c r="W95" s="97" t="s">
        <v>95</v>
      </c>
    </row>
    <row r="96" spans="23:23" x14ac:dyDescent="0.25">
      <c r="W96" s="97" t="s">
        <v>95</v>
      </c>
    </row>
    <row r="97" spans="23:23" x14ac:dyDescent="0.25">
      <c r="W97" s="97" t="s">
        <v>99</v>
      </c>
    </row>
    <row r="98" spans="23:23" x14ac:dyDescent="0.25">
      <c r="W98" s="97" t="s">
        <v>99</v>
      </c>
    </row>
    <row r="99" spans="23:23" x14ac:dyDescent="0.25">
      <c r="W99" s="97" t="s">
        <v>99</v>
      </c>
    </row>
    <row r="100" spans="23:23" x14ac:dyDescent="0.25">
      <c r="W100" s="97" t="s">
        <v>99</v>
      </c>
    </row>
    <row r="101" spans="23:23" x14ac:dyDescent="0.25">
      <c r="W101" s="97" t="s">
        <v>10</v>
      </c>
    </row>
    <row r="102" spans="23:23" x14ac:dyDescent="0.25">
      <c r="W102" s="97" t="s">
        <v>10</v>
      </c>
    </row>
    <row r="103" spans="23:23" x14ac:dyDescent="0.25">
      <c r="W103" s="97" t="s">
        <v>10</v>
      </c>
    </row>
    <row r="104" spans="23:23" x14ac:dyDescent="0.25">
      <c r="W104" s="97" t="s">
        <v>10</v>
      </c>
    </row>
    <row r="105" spans="23:23" x14ac:dyDescent="0.25">
      <c r="W105" s="97" t="s">
        <v>4</v>
      </c>
    </row>
    <row r="106" spans="23:23" x14ac:dyDescent="0.25">
      <c r="W106" s="97" t="s">
        <v>4</v>
      </c>
    </row>
    <row r="107" spans="23:23" x14ac:dyDescent="0.25">
      <c r="W107" s="97" t="s">
        <v>4</v>
      </c>
    </row>
    <row r="108" spans="23:23" x14ac:dyDescent="0.25">
      <c r="W108" s="97" t="s">
        <v>4</v>
      </c>
    </row>
    <row r="109" spans="23:23" x14ac:dyDescent="0.25">
      <c r="W109" s="97" t="s">
        <v>28</v>
      </c>
    </row>
    <row r="110" spans="23:23" x14ac:dyDescent="0.25">
      <c r="W110" s="97" t="s">
        <v>28</v>
      </c>
    </row>
    <row r="111" spans="23:23" x14ac:dyDescent="0.25">
      <c r="W111" s="97" t="s">
        <v>28</v>
      </c>
    </row>
    <row r="112" spans="23:23" x14ac:dyDescent="0.25">
      <c r="W112" s="97" t="s">
        <v>28</v>
      </c>
    </row>
    <row r="113" spans="23:23" x14ac:dyDescent="0.25">
      <c r="W113" s="97"/>
    </row>
  </sheetData>
  <autoFilter ref="B11:T42" xr:uid="{00000000-0009-0000-0000-000008000000}">
    <filterColumn colId="0" showButton="0"/>
  </autoFilter>
  <mergeCells count="4">
    <mergeCell ref="M28:T29"/>
    <mergeCell ref="N38:P44"/>
    <mergeCell ref="M47:T48"/>
    <mergeCell ref="N56:P62"/>
  </mergeCells>
  <pageMargins left="0.25" right="0.25" top="0.75" bottom="0.75" header="0.3" footer="0.3"/>
  <pageSetup paperSize="9" scale="53" orientation="landscape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B1:X83"/>
  <sheetViews>
    <sheetView showGridLines="0" topLeftCell="D32" zoomScale="85" zoomScaleNormal="85" workbookViewId="0">
      <selection activeCell="P30" sqref="P30"/>
    </sheetView>
  </sheetViews>
  <sheetFormatPr defaultColWidth="9.140625" defaultRowHeight="15" x14ac:dyDescent="0.25"/>
  <cols>
    <col min="1" max="1" width="2.42578125" style="2" customWidth="1"/>
    <col min="2" max="2" width="11.5703125" bestFit="1" customWidth="1"/>
    <col min="3" max="3" width="12.5703125" style="2" customWidth="1"/>
    <col min="4" max="11" width="13.7109375" style="27" customWidth="1"/>
    <col min="12" max="12" width="4.7109375" style="2" customWidth="1"/>
    <col min="13" max="13" width="9.140625" style="2"/>
    <col min="14" max="16" width="16.42578125" style="2" customWidth="1"/>
    <col min="17" max="17" width="9.140625" style="2"/>
    <col min="18" max="19" width="11" style="2" customWidth="1"/>
    <col min="20" max="20" width="11" style="1" customWidth="1"/>
    <col min="21" max="16384" width="9.140625" style="2"/>
  </cols>
  <sheetData>
    <row r="1" spans="2:24" x14ac:dyDescent="0.25">
      <c r="K1"/>
    </row>
    <row r="2" spans="2:24" ht="15" customHeight="1" x14ac:dyDescent="0.25">
      <c r="C2" s="191" t="s">
        <v>22</v>
      </c>
      <c r="D2" s="191"/>
      <c r="E2" s="191" t="s">
        <v>23</v>
      </c>
      <c r="F2" s="191"/>
      <c r="G2"/>
      <c r="H2"/>
      <c r="I2" s="2"/>
      <c r="J2" s="2"/>
      <c r="K2" s="2"/>
      <c r="T2" s="2"/>
    </row>
    <row r="3" spans="2:24" ht="15" customHeight="1" x14ac:dyDescent="0.25">
      <c r="C3" s="67" t="s">
        <v>26</v>
      </c>
      <c r="D3" s="65"/>
      <c r="E3" s="66" t="s">
        <v>3</v>
      </c>
      <c r="F3" s="65"/>
      <c r="G3"/>
      <c r="H3" s="2"/>
      <c r="I3" s="2"/>
      <c r="J3" s="2"/>
      <c r="K3" s="2"/>
      <c r="T3" s="2"/>
    </row>
    <row r="4" spans="2:24" ht="15" customHeight="1" x14ac:dyDescent="0.25">
      <c r="C4" s="67" t="s">
        <v>1</v>
      </c>
      <c r="D4" s="65"/>
      <c r="E4" s="66" t="s">
        <v>10</v>
      </c>
      <c r="F4" s="65"/>
      <c r="G4"/>
      <c r="H4" s="2"/>
      <c r="I4" s="2"/>
      <c r="J4" s="2"/>
      <c r="K4" s="2"/>
      <c r="T4" s="2"/>
    </row>
    <row r="5" spans="2:24" x14ac:dyDescent="0.25">
      <c r="C5" s="67" t="s">
        <v>0</v>
      </c>
      <c r="D5" s="65"/>
      <c r="E5" s="66" t="s">
        <v>4</v>
      </c>
      <c r="F5" s="65"/>
      <c r="G5"/>
      <c r="H5" s="2"/>
      <c r="I5" s="2"/>
      <c r="J5" s="2"/>
      <c r="K5" s="2"/>
      <c r="T5" s="2"/>
    </row>
    <row r="6" spans="2:24" x14ac:dyDescent="0.25">
      <c r="C6" s="67" t="s">
        <v>27</v>
      </c>
      <c r="D6" s="65"/>
      <c r="E6" s="66" t="s">
        <v>28</v>
      </c>
      <c r="F6" s="65"/>
      <c r="G6" s="87"/>
      <c r="H6" s="2"/>
      <c r="I6" s="2"/>
      <c r="J6" s="2"/>
      <c r="K6" s="2"/>
      <c r="T6" s="2"/>
    </row>
    <row r="7" spans="2:24" x14ac:dyDescent="0.25">
      <c r="C7" s="67" t="s">
        <v>8</v>
      </c>
      <c r="D7" s="65"/>
      <c r="E7" s="66" t="s">
        <v>6</v>
      </c>
      <c r="F7" s="65"/>
      <c r="G7" s="87"/>
      <c r="H7" s="2"/>
      <c r="I7" s="2"/>
      <c r="J7" s="2"/>
      <c r="K7" s="2"/>
      <c r="T7" s="2"/>
    </row>
    <row r="8" spans="2:24" x14ac:dyDescent="0.25">
      <c r="C8" s="67" t="s">
        <v>12</v>
      </c>
      <c r="D8" s="65"/>
      <c r="E8" s="66" t="s">
        <v>59</v>
      </c>
      <c r="F8" s="65"/>
      <c r="G8" s="6"/>
      <c r="H8" s="2"/>
      <c r="I8" s="2"/>
      <c r="J8" s="2"/>
      <c r="K8" s="2"/>
      <c r="T8" s="2"/>
    </row>
    <row r="9" spans="2:24" x14ac:dyDescent="0.25">
      <c r="C9" s="3"/>
      <c r="D9" s="6"/>
      <c r="E9" s="6"/>
      <c r="H9" s="6"/>
      <c r="I9" s="6"/>
      <c r="J9" s="6"/>
      <c r="K9" s="6"/>
      <c r="T9" s="1" t="s">
        <v>60</v>
      </c>
    </row>
    <row r="10" spans="2:24" x14ac:dyDescent="0.25">
      <c r="C10" s="28"/>
      <c r="D10" s="29"/>
      <c r="E10" s="29"/>
      <c r="F10" s="29"/>
      <c r="G10" s="29"/>
      <c r="H10" s="29"/>
      <c r="I10" s="29"/>
      <c r="J10" s="29"/>
      <c r="K10" s="29"/>
    </row>
    <row r="11" spans="2:24" ht="15.75" customHeight="1" x14ac:dyDescent="0.25">
      <c r="C11" s="45" t="s">
        <v>39</v>
      </c>
      <c r="D11" s="46" t="s">
        <v>53</v>
      </c>
      <c r="E11" s="46" t="s">
        <v>53</v>
      </c>
      <c r="F11" s="46" t="s">
        <v>54</v>
      </c>
      <c r="G11" s="46" t="s">
        <v>54</v>
      </c>
      <c r="H11" s="46" t="s">
        <v>55</v>
      </c>
      <c r="I11" s="46" t="s">
        <v>55</v>
      </c>
      <c r="J11" s="46" t="s">
        <v>56</v>
      </c>
      <c r="K11" s="46" t="s">
        <v>56</v>
      </c>
    </row>
    <row r="12" spans="2:24" ht="15.75" x14ac:dyDescent="0.25">
      <c r="C12" s="88">
        <v>44470</v>
      </c>
      <c r="D12" s="94" t="s">
        <v>1</v>
      </c>
      <c r="E12" s="95" t="s">
        <v>4</v>
      </c>
      <c r="F12" s="94" t="s">
        <v>27</v>
      </c>
      <c r="G12" s="95" t="s">
        <v>28</v>
      </c>
      <c r="H12" s="94" t="s">
        <v>8</v>
      </c>
      <c r="I12" s="95" t="s">
        <v>59</v>
      </c>
      <c r="J12" s="96" t="s">
        <v>26</v>
      </c>
      <c r="K12" s="97" t="s">
        <v>95</v>
      </c>
      <c r="L12" s="30"/>
      <c r="M12" s="4" t="s">
        <v>44</v>
      </c>
      <c r="N12" s="4" t="s">
        <v>15</v>
      </c>
      <c r="O12" s="4" t="s">
        <v>16</v>
      </c>
      <c r="P12" s="4" t="s">
        <v>17</v>
      </c>
      <c r="Q12" s="4" t="s">
        <v>18</v>
      </c>
      <c r="R12" s="4" t="s">
        <v>57</v>
      </c>
      <c r="S12" s="31" t="s">
        <v>58</v>
      </c>
      <c r="T12" s="2"/>
      <c r="W12" s="96" t="s">
        <v>26</v>
      </c>
      <c r="X12" s="97" t="s">
        <v>10</v>
      </c>
    </row>
    <row r="13" spans="2:24" ht="15.75" x14ac:dyDescent="0.25">
      <c r="C13" s="88">
        <v>44471</v>
      </c>
      <c r="D13" s="94" t="s">
        <v>1</v>
      </c>
      <c r="E13" s="95" t="s">
        <v>4</v>
      </c>
      <c r="F13" s="94" t="s">
        <v>27</v>
      </c>
      <c r="G13" s="95" t="s">
        <v>28</v>
      </c>
      <c r="H13" s="94" t="s">
        <v>8</v>
      </c>
      <c r="I13" s="95" t="s">
        <v>59</v>
      </c>
      <c r="J13" s="96" t="s">
        <v>26</v>
      </c>
      <c r="K13" s="97" t="s">
        <v>95</v>
      </c>
      <c r="M13" s="47" t="s">
        <v>26</v>
      </c>
      <c r="N13" s="42">
        <f>COUNTIF($D$12:$D$42,"A")</f>
        <v>4</v>
      </c>
      <c r="O13" s="42">
        <f>COUNTIF($F$12:$F$42,"A")</f>
        <v>4</v>
      </c>
      <c r="P13" s="42">
        <f>COUNTIF($H$12:$H$42,"A")</f>
        <v>5</v>
      </c>
      <c r="Q13" s="42">
        <f>COUNTIF($J$12:$J$42,"A")</f>
        <v>8</v>
      </c>
      <c r="R13" s="43">
        <f t="shared" ref="R13:R24" si="0">SUM(N13:Q13)</f>
        <v>21</v>
      </c>
      <c r="S13" s="42">
        <f>31-R13</f>
        <v>10</v>
      </c>
      <c r="T13" s="2"/>
      <c r="W13" s="96" t="s">
        <v>26</v>
      </c>
      <c r="X13" s="97" t="s">
        <v>10</v>
      </c>
    </row>
    <row r="14" spans="2:24" ht="15.75" x14ac:dyDescent="0.25">
      <c r="C14" s="88">
        <v>44472</v>
      </c>
      <c r="D14" s="94" t="s">
        <v>0</v>
      </c>
      <c r="E14" s="95" t="s">
        <v>4</v>
      </c>
      <c r="F14" s="94" t="s">
        <v>27</v>
      </c>
      <c r="G14" s="95" t="s">
        <v>6</v>
      </c>
      <c r="H14" s="94" t="s">
        <v>12</v>
      </c>
      <c r="I14" s="95" t="s">
        <v>59</v>
      </c>
      <c r="J14" s="96" t="s">
        <v>26</v>
      </c>
      <c r="K14" s="97" t="s">
        <v>10</v>
      </c>
      <c r="L14" s="32"/>
      <c r="M14" s="48" t="s">
        <v>1</v>
      </c>
      <c r="N14" s="42">
        <f>COUNTIF($D$12:$D$42,"B")</f>
        <v>6</v>
      </c>
      <c r="O14" s="42">
        <f>COUNTIF($F$12:$F$42,"B")</f>
        <v>4</v>
      </c>
      <c r="P14" s="42">
        <f>COUNTIF($H$12:$H$42,"B")</f>
        <v>4</v>
      </c>
      <c r="Q14" s="42">
        <f>COUNTIF($J$12:$J$42,"B")</f>
        <v>7</v>
      </c>
      <c r="R14" s="113">
        <f t="shared" si="0"/>
        <v>21</v>
      </c>
      <c r="S14" s="42">
        <f t="shared" ref="S14:S24" si="1">31-R14</f>
        <v>10</v>
      </c>
      <c r="T14" s="2"/>
      <c r="W14" s="111" t="s">
        <v>26</v>
      </c>
      <c r="X14" s="112" t="s">
        <v>10</v>
      </c>
    </row>
    <row r="15" spans="2:24" ht="15.75" x14ac:dyDescent="0.25">
      <c r="C15" s="88">
        <v>44473</v>
      </c>
      <c r="D15" s="176" t="s">
        <v>0</v>
      </c>
      <c r="E15" s="177" t="s">
        <v>4</v>
      </c>
      <c r="F15" s="176" t="s">
        <v>27</v>
      </c>
      <c r="G15" s="177" t="s">
        <v>6</v>
      </c>
      <c r="H15" s="176" t="s">
        <v>12</v>
      </c>
      <c r="I15" s="177" t="s">
        <v>59</v>
      </c>
      <c r="J15" s="178" t="s">
        <v>26</v>
      </c>
      <c r="K15" s="179" t="s">
        <v>10</v>
      </c>
      <c r="L15" s="32"/>
      <c r="M15" s="48" t="s">
        <v>0</v>
      </c>
      <c r="N15" s="42">
        <f>COUNTIF($D$12:$D$42,"C")</f>
        <v>8</v>
      </c>
      <c r="O15" s="42">
        <f>COUNTIF($F$12:$F$42,"C")</f>
        <v>4</v>
      </c>
      <c r="P15" s="42">
        <f>COUNTIF($H$12:$H$42,"C")</f>
        <v>4</v>
      </c>
      <c r="Q15" s="42">
        <f>COUNTIF($J$12:$J$42,"C")</f>
        <v>4</v>
      </c>
      <c r="R15" s="43">
        <f t="shared" si="0"/>
        <v>20</v>
      </c>
      <c r="S15" s="42">
        <f t="shared" si="1"/>
        <v>11</v>
      </c>
      <c r="T15" s="2"/>
      <c r="W15" s="96" t="s">
        <v>26</v>
      </c>
      <c r="X15" s="97" t="s">
        <v>10</v>
      </c>
    </row>
    <row r="16" spans="2:24" s="27" customFormat="1" ht="15.75" x14ac:dyDescent="0.25">
      <c r="B16" s="114"/>
      <c r="C16" s="88">
        <v>44474</v>
      </c>
      <c r="D16" s="94" t="s">
        <v>0</v>
      </c>
      <c r="E16" s="95" t="s">
        <v>28</v>
      </c>
      <c r="F16" s="94" t="s">
        <v>8</v>
      </c>
      <c r="G16" s="95" t="s">
        <v>6</v>
      </c>
      <c r="H16" s="94" t="s">
        <v>12</v>
      </c>
      <c r="I16" s="95" t="s">
        <v>95</v>
      </c>
      <c r="J16" s="96" t="s">
        <v>1</v>
      </c>
      <c r="K16" s="97" t="s">
        <v>10</v>
      </c>
      <c r="L16" s="115"/>
      <c r="M16" s="129" t="s">
        <v>27</v>
      </c>
      <c r="N16" s="124">
        <f>COUNTIF($D$12:$D$42,"D")</f>
        <v>5</v>
      </c>
      <c r="O16" s="124">
        <f>COUNTIF($F$12:$F$42,"D")</f>
        <v>8</v>
      </c>
      <c r="P16" s="124">
        <f>COUNTIF($H$12:$H$42,"D")</f>
        <v>4</v>
      </c>
      <c r="Q16" s="124">
        <f>COUNTIF($J$12:$J$42,"D")</f>
        <v>4</v>
      </c>
      <c r="R16" s="43">
        <f t="shared" si="0"/>
        <v>21</v>
      </c>
      <c r="S16" s="124">
        <f t="shared" si="1"/>
        <v>10</v>
      </c>
      <c r="W16" s="96" t="s">
        <v>1</v>
      </c>
      <c r="X16" s="97" t="s">
        <v>4</v>
      </c>
    </row>
    <row r="17" spans="2:24" ht="15.75" x14ac:dyDescent="0.25">
      <c r="C17" s="88">
        <v>44475</v>
      </c>
      <c r="D17" s="94" t="s">
        <v>0</v>
      </c>
      <c r="E17" s="95" t="s">
        <v>28</v>
      </c>
      <c r="F17" s="94" t="s">
        <v>8</v>
      </c>
      <c r="G17" s="95" t="s">
        <v>6</v>
      </c>
      <c r="H17" s="94" t="s">
        <v>12</v>
      </c>
      <c r="I17" s="95" t="s">
        <v>95</v>
      </c>
      <c r="J17" s="96" t="s">
        <v>1</v>
      </c>
      <c r="K17" s="97" t="s">
        <v>10</v>
      </c>
      <c r="L17" s="33"/>
      <c r="M17" s="48" t="s">
        <v>8</v>
      </c>
      <c r="N17" s="42">
        <f>COUNTIF($D$12:$D$42,"E")</f>
        <v>4</v>
      </c>
      <c r="O17" s="42">
        <f>COUNTIF($F$12:$F$42,"E")</f>
        <v>7</v>
      </c>
      <c r="P17" s="42">
        <f>COUNTIF($H$12:$H$42,"E")</f>
        <v>6</v>
      </c>
      <c r="Q17" s="42">
        <f>COUNTIF($J$12:$J$42,"E")</f>
        <v>4</v>
      </c>
      <c r="R17" s="43">
        <f t="shared" si="0"/>
        <v>21</v>
      </c>
      <c r="S17" s="42">
        <f t="shared" si="1"/>
        <v>10</v>
      </c>
      <c r="T17" s="2"/>
      <c r="W17" s="96" t="s">
        <v>1</v>
      </c>
      <c r="X17" s="97" t="s">
        <v>4</v>
      </c>
    </row>
    <row r="18" spans="2:24" ht="15.75" x14ac:dyDescent="0.25">
      <c r="C18" s="88">
        <v>44476</v>
      </c>
      <c r="D18" s="94" t="s">
        <v>27</v>
      </c>
      <c r="E18" s="95" t="s">
        <v>28</v>
      </c>
      <c r="F18" s="94" t="s">
        <v>8</v>
      </c>
      <c r="G18" s="95" t="s">
        <v>59</v>
      </c>
      <c r="H18" s="94" t="s">
        <v>26</v>
      </c>
      <c r="I18" s="95" t="s">
        <v>95</v>
      </c>
      <c r="J18" s="96" t="s">
        <v>1</v>
      </c>
      <c r="K18" s="97" t="s">
        <v>4</v>
      </c>
      <c r="L18" s="32"/>
      <c r="M18" s="48" t="s">
        <v>12</v>
      </c>
      <c r="N18" s="42">
        <f>COUNTIF($D$12:$D$42,"F")</f>
        <v>4</v>
      </c>
      <c r="O18" s="42">
        <f>COUNTIF($F$12:$F$42,"F")</f>
        <v>4</v>
      </c>
      <c r="P18" s="42">
        <f>COUNTIF($H$12:$H$42,"F")</f>
        <v>8</v>
      </c>
      <c r="Q18" s="42">
        <f>COUNTIF($J$12:$J$42,"F")</f>
        <v>4</v>
      </c>
      <c r="R18" s="43">
        <f t="shared" si="0"/>
        <v>20</v>
      </c>
      <c r="S18" s="42">
        <f t="shared" si="1"/>
        <v>11</v>
      </c>
      <c r="T18" s="2"/>
      <c r="W18" s="96" t="s">
        <v>1</v>
      </c>
      <c r="X18" s="97" t="s">
        <v>4</v>
      </c>
    </row>
    <row r="19" spans="2:24" ht="15.75" x14ac:dyDescent="0.25">
      <c r="C19" s="88">
        <v>44477</v>
      </c>
      <c r="D19" s="94" t="s">
        <v>27</v>
      </c>
      <c r="E19" s="95" t="s">
        <v>28</v>
      </c>
      <c r="F19" s="94" t="s">
        <v>8</v>
      </c>
      <c r="G19" s="95" t="s">
        <v>59</v>
      </c>
      <c r="H19" s="94" t="s">
        <v>26</v>
      </c>
      <c r="I19" s="95" t="s">
        <v>95</v>
      </c>
      <c r="J19" s="96" t="s">
        <v>1</v>
      </c>
      <c r="K19" s="97" t="s">
        <v>4</v>
      </c>
      <c r="L19" s="32"/>
      <c r="M19" s="51" t="s">
        <v>3</v>
      </c>
      <c r="N19" s="53">
        <f>COUNTIF($E$12:$E$42,"G")</f>
        <v>0</v>
      </c>
      <c r="O19" s="53">
        <f>COUNTIF($G$12:$G$42,"G")</f>
        <v>0</v>
      </c>
      <c r="P19" s="53">
        <f>COUNTIF($I$12:$I$42,"G")</f>
        <v>0</v>
      </c>
      <c r="Q19" s="53">
        <f>COUNTIF($K$12:$K$42,"G")</f>
        <v>0</v>
      </c>
      <c r="R19" s="54">
        <f t="shared" si="0"/>
        <v>0</v>
      </c>
      <c r="S19" s="53">
        <f t="shared" si="1"/>
        <v>31</v>
      </c>
      <c r="T19" s="2"/>
      <c r="W19" s="96" t="s">
        <v>1</v>
      </c>
      <c r="X19" s="97" t="s">
        <v>4</v>
      </c>
    </row>
    <row r="20" spans="2:24" ht="15.75" x14ac:dyDescent="0.25">
      <c r="C20" s="88">
        <v>44478</v>
      </c>
      <c r="D20" s="94" t="s">
        <v>27</v>
      </c>
      <c r="E20" s="95" t="s">
        <v>6</v>
      </c>
      <c r="F20" s="94" t="s">
        <v>12</v>
      </c>
      <c r="G20" s="95" t="s">
        <v>59</v>
      </c>
      <c r="H20" s="94" t="s">
        <v>26</v>
      </c>
      <c r="I20" s="95" t="s">
        <v>10</v>
      </c>
      <c r="J20" s="96" t="s">
        <v>0</v>
      </c>
      <c r="K20" s="97" t="s">
        <v>4</v>
      </c>
      <c r="L20" s="32"/>
      <c r="M20" s="55" t="s">
        <v>10</v>
      </c>
      <c r="N20" s="53">
        <f>COUNTIF($E$12:$E$42,"H")</f>
        <v>4</v>
      </c>
      <c r="O20" s="53">
        <f>COUNTIF($G$12:$G$42,"H")</f>
        <v>4</v>
      </c>
      <c r="P20" s="53">
        <f>COUNTIF($I$12:$I$42,"H")</f>
        <v>4</v>
      </c>
      <c r="Q20" s="53">
        <f>COUNTIF($K$12:$K$42,"H")</f>
        <v>8</v>
      </c>
      <c r="R20" s="54">
        <f t="shared" si="0"/>
        <v>20</v>
      </c>
      <c r="S20" s="53">
        <f t="shared" si="1"/>
        <v>11</v>
      </c>
      <c r="T20" s="2"/>
      <c r="W20" s="96" t="s">
        <v>0</v>
      </c>
      <c r="X20" s="97" t="s">
        <v>28</v>
      </c>
    </row>
    <row r="21" spans="2:24" ht="15.75" x14ac:dyDescent="0.25">
      <c r="C21" s="88">
        <v>44479</v>
      </c>
      <c r="D21" s="94" t="s">
        <v>27</v>
      </c>
      <c r="E21" s="95" t="s">
        <v>6</v>
      </c>
      <c r="F21" s="94" t="s">
        <v>12</v>
      </c>
      <c r="G21" s="95" t="s">
        <v>59</v>
      </c>
      <c r="H21" s="94" t="s">
        <v>26</v>
      </c>
      <c r="I21" s="95" t="s">
        <v>10</v>
      </c>
      <c r="J21" s="96" t="s">
        <v>0</v>
      </c>
      <c r="K21" s="97" t="s">
        <v>4</v>
      </c>
      <c r="L21" s="34"/>
      <c r="M21" s="55" t="s">
        <v>4</v>
      </c>
      <c r="N21" s="53">
        <f>COUNTIF($E$12:$E$42,"I")</f>
        <v>8</v>
      </c>
      <c r="O21" s="53">
        <f>COUNTIF($G$12:$G$42,"I")</f>
        <v>4</v>
      </c>
      <c r="P21" s="53">
        <f>COUNTIF($I$12:$I$42,"I")</f>
        <v>4</v>
      </c>
      <c r="Q21" s="53">
        <f>COUNTIF($K$12:$K$42,"I")</f>
        <v>5</v>
      </c>
      <c r="R21" s="54">
        <f t="shared" si="0"/>
        <v>21</v>
      </c>
      <c r="S21" s="53">
        <f t="shared" si="1"/>
        <v>10</v>
      </c>
      <c r="T21" s="2"/>
      <c r="W21" s="96" t="s">
        <v>0</v>
      </c>
      <c r="X21" s="97" t="s">
        <v>28</v>
      </c>
    </row>
    <row r="22" spans="2:24" ht="15.75" x14ac:dyDescent="0.25">
      <c r="C22" s="88">
        <v>44480</v>
      </c>
      <c r="D22" s="94" t="s">
        <v>8</v>
      </c>
      <c r="E22" s="95" t="s">
        <v>6</v>
      </c>
      <c r="F22" s="94" t="s">
        <v>12</v>
      </c>
      <c r="G22" s="95" t="s">
        <v>95</v>
      </c>
      <c r="H22" s="94" t="s">
        <v>1</v>
      </c>
      <c r="I22" s="95" t="s">
        <v>10</v>
      </c>
      <c r="J22" s="96" t="s">
        <v>0</v>
      </c>
      <c r="K22" s="97" t="s">
        <v>28</v>
      </c>
      <c r="L22" s="32"/>
      <c r="M22" s="55" t="s">
        <v>28</v>
      </c>
      <c r="N22" s="53">
        <f>COUNTIF($E$12:$E$42,"J")</f>
        <v>7</v>
      </c>
      <c r="O22" s="53">
        <f>COUNTIF($G$12:$G$42,"J")</f>
        <v>6</v>
      </c>
      <c r="P22" s="53">
        <f>COUNTIF($I$12:$I$42,"J")</f>
        <v>4</v>
      </c>
      <c r="Q22" s="53">
        <f>COUNTIF($K$12:$K$42,"J")</f>
        <v>4</v>
      </c>
      <c r="R22" s="54">
        <f t="shared" si="0"/>
        <v>21</v>
      </c>
      <c r="S22" s="53">
        <f t="shared" si="1"/>
        <v>10</v>
      </c>
      <c r="T22" s="2"/>
      <c r="W22" s="96" t="s">
        <v>0</v>
      </c>
      <c r="X22" s="97" t="s">
        <v>28</v>
      </c>
    </row>
    <row r="23" spans="2:24" ht="15.75" x14ac:dyDescent="0.25">
      <c r="C23" s="88">
        <v>44481</v>
      </c>
      <c r="D23" s="94" t="s">
        <v>8</v>
      </c>
      <c r="E23" s="95" t="s">
        <v>6</v>
      </c>
      <c r="F23" s="94" t="s">
        <v>12</v>
      </c>
      <c r="G23" s="95" t="s">
        <v>95</v>
      </c>
      <c r="H23" s="94" t="s">
        <v>1</v>
      </c>
      <c r="I23" s="95" t="s">
        <v>10</v>
      </c>
      <c r="J23" s="96" t="s">
        <v>0</v>
      </c>
      <c r="K23" s="97" t="s">
        <v>28</v>
      </c>
      <c r="L23" s="33"/>
      <c r="M23" s="55" t="s">
        <v>6</v>
      </c>
      <c r="N23" s="53">
        <f>COUNTIF($E$12:$E$42,"K")</f>
        <v>4</v>
      </c>
      <c r="O23" s="53">
        <f>COUNTIF($G$12:$G$42,"K")</f>
        <v>8</v>
      </c>
      <c r="P23" s="53">
        <f>COUNTIF($I$12:$I$42,"K")</f>
        <v>4</v>
      </c>
      <c r="Q23" s="53">
        <f>COUNTIF($K$12:$K$42,"K")</f>
        <v>4</v>
      </c>
      <c r="R23" s="54">
        <f t="shared" si="0"/>
        <v>20</v>
      </c>
      <c r="S23" s="53">
        <f t="shared" si="1"/>
        <v>11</v>
      </c>
      <c r="T23" s="2"/>
      <c r="W23" s="96" t="s">
        <v>0</v>
      </c>
      <c r="X23" s="97" t="s">
        <v>28</v>
      </c>
    </row>
    <row r="24" spans="2:24" ht="15.75" x14ac:dyDescent="0.25">
      <c r="C24" s="88">
        <v>44482</v>
      </c>
      <c r="D24" s="94" t="s">
        <v>8</v>
      </c>
      <c r="E24" s="95" t="s">
        <v>59</v>
      </c>
      <c r="F24" s="94" t="s">
        <v>26</v>
      </c>
      <c r="G24" s="95" t="s">
        <v>95</v>
      </c>
      <c r="H24" s="94" t="s">
        <v>1</v>
      </c>
      <c r="I24" s="95" t="s">
        <v>4</v>
      </c>
      <c r="J24" s="96" t="s">
        <v>27</v>
      </c>
      <c r="K24" s="97" t="s">
        <v>28</v>
      </c>
      <c r="L24" s="33"/>
      <c r="M24" s="55" t="s">
        <v>59</v>
      </c>
      <c r="N24" s="53">
        <f>COUNTIF($E$12:$E$42,"L")</f>
        <v>4</v>
      </c>
      <c r="O24" s="53">
        <f>COUNTIF($G$12:$G$42,"L")</f>
        <v>5</v>
      </c>
      <c r="P24" s="53">
        <f>COUNTIF($I$12:$I$42,"L")</f>
        <v>8</v>
      </c>
      <c r="Q24" s="53">
        <f>COUNTIF($K$12:$K$42,"L")</f>
        <v>4</v>
      </c>
      <c r="R24" s="54">
        <f t="shared" si="0"/>
        <v>21</v>
      </c>
      <c r="S24" s="53">
        <f t="shared" si="1"/>
        <v>10</v>
      </c>
      <c r="T24" s="2"/>
      <c r="W24" s="96" t="s">
        <v>27</v>
      </c>
      <c r="X24" s="97" t="s">
        <v>6</v>
      </c>
    </row>
    <row r="25" spans="2:24" s="27" customFormat="1" ht="15.75" x14ac:dyDescent="0.25">
      <c r="B25" s="114"/>
      <c r="C25" s="88">
        <v>44483</v>
      </c>
      <c r="D25" s="94" t="s">
        <v>8</v>
      </c>
      <c r="E25" s="95" t="s">
        <v>59</v>
      </c>
      <c r="F25" s="94" t="s">
        <v>26</v>
      </c>
      <c r="G25" s="95" t="s">
        <v>95</v>
      </c>
      <c r="H25" s="94" t="s">
        <v>1</v>
      </c>
      <c r="I25" s="95" t="s">
        <v>4</v>
      </c>
      <c r="J25" s="96" t="s">
        <v>27</v>
      </c>
      <c r="K25" s="97" t="s">
        <v>28</v>
      </c>
      <c r="L25" s="115"/>
      <c r="M25" s="55" t="s">
        <v>95</v>
      </c>
      <c r="N25" s="116">
        <f>COUNTIF($E$12:$E$42,"M")</f>
        <v>4</v>
      </c>
      <c r="O25" s="116">
        <f>COUNTIF($G$12:$G$42,"M")</f>
        <v>4</v>
      </c>
      <c r="P25" s="116">
        <f>COUNTIF($I$12:$I$42,"M")</f>
        <v>7</v>
      </c>
      <c r="Q25" s="116">
        <f>COUNTIF($K$12:$K$42,"M")</f>
        <v>6</v>
      </c>
      <c r="R25" s="54">
        <f t="shared" ref="R25" si="2">SUM(N25:Q25)</f>
        <v>21</v>
      </c>
      <c r="S25" s="116">
        <f t="shared" ref="S25" si="3">31-R25</f>
        <v>10</v>
      </c>
      <c r="T25" s="117"/>
      <c r="W25" s="96" t="s">
        <v>27</v>
      </c>
      <c r="X25" s="97" t="s">
        <v>6</v>
      </c>
    </row>
    <row r="26" spans="2:24" x14ac:dyDescent="0.25">
      <c r="C26" s="88">
        <v>44484</v>
      </c>
      <c r="D26" s="94" t="s">
        <v>12</v>
      </c>
      <c r="E26" s="95" t="s">
        <v>59</v>
      </c>
      <c r="F26" s="94" t="s">
        <v>26</v>
      </c>
      <c r="G26" s="95" t="s">
        <v>10</v>
      </c>
      <c r="H26" s="94" t="s">
        <v>0</v>
      </c>
      <c r="I26" s="95" t="s">
        <v>4</v>
      </c>
      <c r="J26" s="96" t="s">
        <v>27</v>
      </c>
      <c r="K26" s="97" t="s">
        <v>6</v>
      </c>
      <c r="L26" s="32"/>
      <c r="M26" s="35"/>
      <c r="N26" s="35"/>
      <c r="O26" s="35"/>
      <c r="P26" s="35"/>
      <c r="Q26" s="35"/>
      <c r="W26" s="96" t="s">
        <v>27</v>
      </c>
      <c r="X26" s="97" t="s">
        <v>6</v>
      </c>
    </row>
    <row r="27" spans="2:24" x14ac:dyDescent="0.25">
      <c r="C27" s="88">
        <v>44485</v>
      </c>
      <c r="D27" s="94" t="s">
        <v>12</v>
      </c>
      <c r="E27" s="95" t="s">
        <v>59</v>
      </c>
      <c r="F27" s="94" t="s">
        <v>26</v>
      </c>
      <c r="G27" s="95" t="s">
        <v>10</v>
      </c>
      <c r="H27" s="94" t="s">
        <v>0</v>
      </c>
      <c r="I27" s="95" t="s">
        <v>4</v>
      </c>
      <c r="J27" s="96" t="s">
        <v>27</v>
      </c>
      <c r="K27" s="97" t="s">
        <v>6</v>
      </c>
      <c r="L27" s="32"/>
      <c r="M27" s="35"/>
      <c r="N27" s="35" t="s">
        <v>72</v>
      </c>
      <c r="O27" s="35"/>
      <c r="P27" s="35"/>
      <c r="Q27" s="35"/>
      <c r="W27" s="96" t="s">
        <v>27</v>
      </c>
      <c r="X27" s="97" t="s">
        <v>6</v>
      </c>
    </row>
    <row r="28" spans="2:24" x14ac:dyDescent="0.25">
      <c r="C28" s="88">
        <v>44486</v>
      </c>
      <c r="D28" s="94" t="s">
        <v>12</v>
      </c>
      <c r="E28" s="95" t="s">
        <v>95</v>
      </c>
      <c r="F28" s="94" t="s">
        <v>1</v>
      </c>
      <c r="G28" s="95" t="s">
        <v>10</v>
      </c>
      <c r="H28" s="94" t="s">
        <v>0</v>
      </c>
      <c r="I28" s="95" t="s">
        <v>28</v>
      </c>
      <c r="J28" s="96" t="s">
        <v>8</v>
      </c>
      <c r="K28" s="97" t="s">
        <v>6</v>
      </c>
      <c r="L28" s="32"/>
      <c r="M28" s="35"/>
      <c r="N28" s="36" t="s">
        <v>73</v>
      </c>
      <c r="O28" s="35"/>
      <c r="P28" s="35"/>
      <c r="Q28" s="35"/>
      <c r="W28" s="96" t="s">
        <v>8</v>
      </c>
      <c r="X28" s="97" t="s">
        <v>59</v>
      </c>
    </row>
    <row r="29" spans="2:24" x14ac:dyDescent="0.25">
      <c r="C29" s="88">
        <v>44487</v>
      </c>
      <c r="D29" s="94" t="s">
        <v>12</v>
      </c>
      <c r="E29" s="95" t="s">
        <v>95</v>
      </c>
      <c r="F29" s="94" t="s">
        <v>1</v>
      </c>
      <c r="G29" s="95" t="s">
        <v>10</v>
      </c>
      <c r="H29" s="94" t="s">
        <v>0</v>
      </c>
      <c r="I29" s="95" t="s">
        <v>28</v>
      </c>
      <c r="J29" s="96" t="s">
        <v>8</v>
      </c>
      <c r="K29" s="97" t="s">
        <v>6</v>
      </c>
      <c r="L29" s="32"/>
      <c r="M29" s="35"/>
      <c r="N29" s="35"/>
      <c r="O29" s="35"/>
      <c r="P29" s="35"/>
      <c r="Q29" s="35"/>
      <c r="W29" s="96" t="s">
        <v>8</v>
      </c>
      <c r="X29" s="97" t="s">
        <v>59</v>
      </c>
    </row>
    <row r="30" spans="2:24" x14ac:dyDescent="0.25">
      <c r="C30" s="88">
        <v>44488</v>
      </c>
      <c r="D30" s="94" t="s">
        <v>26</v>
      </c>
      <c r="E30" s="95" t="s">
        <v>95</v>
      </c>
      <c r="F30" s="94" t="s">
        <v>1</v>
      </c>
      <c r="G30" s="95" t="s">
        <v>4</v>
      </c>
      <c r="H30" s="94" t="s">
        <v>27</v>
      </c>
      <c r="I30" s="95" t="s">
        <v>28</v>
      </c>
      <c r="J30" s="96" t="s">
        <v>8</v>
      </c>
      <c r="K30" s="97" t="s">
        <v>59</v>
      </c>
      <c r="L30" s="32"/>
      <c r="W30" s="96" t="s">
        <v>8</v>
      </c>
      <c r="X30" s="97" t="s">
        <v>59</v>
      </c>
    </row>
    <row r="31" spans="2:24" x14ac:dyDescent="0.25">
      <c r="C31" s="88">
        <v>44489</v>
      </c>
      <c r="D31" s="94" t="s">
        <v>26</v>
      </c>
      <c r="E31" s="95" t="s">
        <v>95</v>
      </c>
      <c r="F31" s="94" t="s">
        <v>1</v>
      </c>
      <c r="G31" s="95" t="s">
        <v>4</v>
      </c>
      <c r="H31" s="94" t="s">
        <v>27</v>
      </c>
      <c r="I31" s="95" t="s">
        <v>28</v>
      </c>
      <c r="J31" s="96" t="s">
        <v>8</v>
      </c>
      <c r="K31" s="97" t="s">
        <v>59</v>
      </c>
      <c r="L31" s="32"/>
      <c r="M31" s="37"/>
      <c r="N31" s="37"/>
      <c r="O31" s="37"/>
      <c r="P31" s="37"/>
      <c r="Q31" s="37"/>
      <c r="W31" s="96" t="s">
        <v>8</v>
      </c>
      <c r="X31" s="97" t="s">
        <v>59</v>
      </c>
    </row>
    <row r="32" spans="2:24" x14ac:dyDescent="0.25">
      <c r="C32" s="88">
        <v>44490</v>
      </c>
      <c r="D32" s="94" t="s">
        <v>26</v>
      </c>
      <c r="E32" s="95" t="s">
        <v>10</v>
      </c>
      <c r="F32" s="94" t="s">
        <v>0</v>
      </c>
      <c r="G32" s="95" t="s">
        <v>4</v>
      </c>
      <c r="H32" s="94" t="s">
        <v>27</v>
      </c>
      <c r="I32" s="95" t="s">
        <v>6</v>
      </c>
      <c r="J32" s="96" t="s">
        <v>12</v>
      </c>
      <c r="K32" s="97" t="s">
        <v>59</v>
      </c>
      <c r="L32" s="32"/>
      <c r="N32" s="1">
        <v>31</v>
      </c>
      <c r="O32" s="1">
        <v>30</v>
      </c>
      <c r="P32" s="1">
        <v>28</v>
      </c>
      <c r="Q32" s="1"/>
      <c r="R32" s="31">
        <v>31</v>
      </c>
      <c r="S32" s="31">
        <v>30</v>
      </c>
      <c r="T32" s="31">
        <v>28</v>
      </c>
      <c r="W32" s="96" t="s">
        <v>12</v>
      </c>
      <c r="X32" s="97" t="s">
        <v>95</v>
      </c>
    </row>
    <row r="33" spans="3:24" ht="15.75" x14ac:dyDescent="0.25">
      <c r="C33" s="88">
        <v>44491</v>
      </c>
      <c r="D33" s="94" t="s">
        <v>26</v>
      </c>
      <c r="E33" s="95" t="s">
        <v>10</v>
      </c>
      <c r="F33" s="94" t="s">
        <v>0</v>
      </c>
      <c r="G33" s="95" t="s">
        <v>4</v>
      </c>
      <c r="H33" s="94" t="s">
        <v>27</v>
      </c>
      <c r="I33" s="95" t="s">
        <v>6</v>
      </c>
      <c r="J33" s="96" t="s">
        <v>12</v>
      </c>
      <c r="K33" s="97" t="s">
        <v>59</v>
      </c>
      <c r="L33" s="34"/>
      <c r="M33" s="47" t="s">
        <v>26</v>
      </c>
      <c r="N33" s="1" t="s">
        <v>129</v>
      </c>
      <c r="O33" s="1" t="s">
        <v>76</v>
      </c>
      <c r="P33" s="1" t="s">
        <v>77</v>
      </c>
      <c r="Q33" s="47" t="s">
        <v>26</v>
      </c>
      <c r="R33" s="5" t="s">
        <v>12</v>
      </c>
      <c r="S33" s="5" t="s">
        <v>27</v>
      </c>
      <c r="T33" s="5" t="s">
        <v>12</v>
      </c>
      <c r="W33" s="96" t="s">
        <v>12</v>
      </c>
      <c r="X33" s="97" t="s">
        <v>95</v>
      </c>
    </row>
    <row r="34" spans="3:24" x14ac:dyDescent="0.25">
      <c r="C34" s="88">
        <v>44492</v>
      </c>
      <c r="D34" s="94" t="s">
        <v>1</v>
      </c>
      <c r="E34" s="95" t="s">
        <v>10</v>
      </c>
      <c r="F34" s="94" t="s">
        <v>0</v>
      </c>
      <c r="G34" s="95" t="s">
        <v>28</v>
      </c>
      <c r="H34" s="94" t="s">
        <v>8</v>
      </c>
      <c r="I34" s="95" t="s">
        <v>6</v>
      </c>
      <c r="J34" s="96" t="s">
        <v>12</v>
      </c>
      <c r="K34" s="97" t="s">
        <v>95</v>
      </c>
      <c r="L34" s="32"/>
      <c r="M34" s="48" t="s">
        <v>1</v>
      </c>
      <c r="N34" s="1" t="s">
        <v>130</v>
      </c>
      <c r="O34" s="1" t="s">
        <v>79</v>
      </c>
      <c r="P34" s="1" t="s">
        <v>80</v>
      </c>
      <c r="Q34" s="48" t="s">
        <v>1</v>
      </c>
      <c r="R34" s="5" t="s">
        <v>0</v>
      </c>
      <c r="S34" s="5" t="s">
        <v>8</v>
      </c>
      <c r="T34" s="5" t="s">
        <v>26</v>
      </c>
      <c r="W34" s="96" t="s">
        <v>12</v>
      </c>
      <c r="X34" s="97" t="s">
        <v>95</v>
      </c>
    </row>
    <row r="35" spans="3:24" x14ac:dyDescent="0.25">
      <c r="C35" s="88">
        <v>44493</v>
      </c>
      <c r="D35" s="94" t="s">
        <v>1</v>
      </c>
      <c r="E35" s="95" t="s">
        <v>10</v>
      </c>
      <c r="F35" s="94" t="s">
        <v>0</v>
      </c>
      <c r="G35" s="95" t="s">
        <v>28</v>
      </c>
      <c r="H35" s="94" t="s">
        <v>8</v>
      </c>
      <c r="I35" s="95" t="s">
        <v>6</v>
      </c>
      <c r="J35" s="96" t="s">
        <v>12</v>
      </c>
      <c r="K35" s="97" t="s">
        <v>95</v>
      </c>
      <c r="L35" s="32"/>
      <c r="M35" s="48" t="s">
        <v>0</v>
      </c>
      <c r="N35" s="1" t="s">
        <v>81</v>
      </c>
      <c r="O35" s="1" t="s">
        <v>82</v>
      </c>
      <c r="P35" s="1" t="s">
        <v>83</v>
      </c>
      <c r="Q35" s="48" t="s">
        <v>0</v>
      </c>
      <c r="R35" s="5" t="s">
        <v>8</v>
      </c>
      <c r="S35" s="5" t="s">
        <v>12</v>
      </c>
      <c r="T35" s="5" t="s">
        <v>1</v>
      </c>
      <c r="W35" s="96" t="s">
        <v>12</v>
      </c>
      <c r="X35" s="97" t="s">
        <v>95</v>
      </c>
    </row>
    <row r="36" spans="3:24" x14ac:dyDescent="0.25">
      <c r="C36" s="88">
        <v>44494</v>
      </c>
      <c r="D36" s="94" t="s">
        <v>1</v>
      </c>
      <c r="E36" s="95" t="s">
        <v>4</v>
      </c>
      <c r="F36" s="94" t="s">
        <v>27</v>
      </c>
      <c r="G36" s="95" t="s">
        <v>28</v>
      </c>
      <c r="H36" s="94" t="s">
        <v>8</v>
      </c>
      <c r="I36" s="95" t="s">
        <v>59</v>
      </c>
      <c r="J36" s="96" t="s">
        <v>26</v>
      </c>
      <c r="K36" s="97" t="s">
        <v>95</v>
      </c>
      <c r="L36" s="32"/>
      <c r="M36" s="48" t="s">
        <v>27</v>
      </c>
      <c r="N36" s="1" t="s">
        <v>84</v>
      </c>
      <c r="O36" s="1" t="s">
        <v>84</v>
      </c>
      <c r="P36" s="1" t="s">
        <v>85</v>
      </c>
      <c r="Q36" s="48" t="s">
        <v>27</v>
      </c>
      <c r="R36" s="5" t="s">
        <v>26</v>
      </c>
      <c r="S36" s="5" t="s">
        <v>26</v>
      </c>
      <c r="T36" s="5" t="s">
        <v>0</v>
      </c>
      <c r="W36" s="96" t="s">
        <v>26</v>
      </c>
      <c r="X36" s="97" t="s">
        <v>10</v>
      </c>
    </row>
    <row r="37" spans="3:24" x14ac:dyDescent="0.25">
      <c r="C37" s="88">
        <v>44495</v>
      </c>
      <c r="D37" s="94" t="s">
        <v>1</v>
      </c>
      <c r="E37" s="95" t="s">
        <v>4</v>
      </c>
      <c r="F37" s="94" t="s">
        <v>27</v>
      </c>
      <c r="G37" s="95" t="s">
        <v>28</v>
      </c>
      <c r="H37" s="94" t="s">
        <v>8</v>
      </c>
      <c r="I37" s="95" t="s">
        <v>59</v>
      </c>
      <c r="J37" s="96" t="s">
        <v>26</v>
      </c>
      <c r="K37" s="97" t="s">
        <v>95</v>
      </c>
      <c r="L37" s="32"/>
      <c r="M37" s="48" t="s">
        <v>8</v>
      </c>
      <c r="N37" s="1" t="s">
        <v>131</v>
      </c>
      <c r="O37" s="1" t="s">
        <v>86</v>
      </c>
      <c r="P37" s="1" t="s">
        <v>87</v>
      </c>
      <c r="Q37" s="48" t="s">
        <v>8</v>
      </c>
      <c r="R37" s="5" t="s">
        <v>27</v>
      </c>
      <c r="S37" s="5" t="s">
        <v>1</v>
      </c>
      <c r="T37" s="5" t="s">
        <v>27</v>
      </c>
      <c r="W37" s="96" t="s">
        <v>26</v>
      </c>
      <c r="X37" s="97" t="s">
        <v>10</v>
      </c>
    </row>
    <row r="38" spans="3:24" x14ac:dyDescent="0.25">
      <c r="C38" s="88">
        <v>44496</v>
      </c>
      <c r="D38" s="94" t="s">
        <v>0</v>
      </c>
      <c r="E38" s="95" t="s">
        <v>4</v>
      </c>
      <c r="F38" s="94" t="s">
        <v>27</v>
      </c>
      <c r="G38" s="95" t="s">
        <v>6</v>
      </c>
      <c r="H38" s="94" t="s">
        <v>12</v>
      </c>
      <c r="I38" s="95" t="s">
        <v>59</v>
      </c>
      <c r="J38" s="96" t="s">
        <v>26</v>
      </c>
      <c r="K38" s="97" t="s">
        <v>10</v>
      </c>
      <c r="L38" s="32"/>
      <c r="M38" s="48" t="s">
        <v>12</v>
      </c>
      <c r="N38" s="1" t="s">
        <v>88</v>
      </c>
      <c r="O38" s="1" t="s">
        <v>89</v>
      </c>
      <c r="P38" s="1" t="s">
        <v>90</v>
      </c>
      <c r="Q38" s="48" t="s">
        <v>12</v>
      </c>
      <c r="R38" s="5" t="s">
        <v>1</v>
      </c>
      <c r="S38" s="5" t="s">
        <v>0</v>
      </c>
      <c r="T38" s="5" t="s">
        <v>8</v>
      </c>
      <c r="W38" s="111" t="s">
        <v>26</v>
      </c>
      <c r="X38" s="97" t="s">
        <v>10</v>
      </c>
    </row>
    <row r="39" spans="3:24" x14ac:dyDescent="0.25">
      <c r="C39" s="88">
        <v>44497</v>
      </c>
      <c r="D39" s="94" t="s">
        <v>0</v>
      </c>
      <c r="E39" s="95" t="s">
        <v>4</v>
      </c>
      <c r="F39" s="94" t="s">
        <v>27</v>
      </c>
      <c r="G39" s="95" t="s">
        <v>6</v>
      </c>
      <c r="H39" s="94" t="s">
        <v>12</v>
      </c>
      <c r="I39" s="95" t="s">
        <v>59</v>
      </c>
      <c r="J39" s="96" t="s">
        <v>26</v>
      </c>
      <c r="K39" s="97" t="s">
        <v>10</v>
      </c>
      <c r="L39" s="32"/>
      <c r="M39" s="48" t="s">
        <v>3</v>
      </c>
      <c r="O39" s="108"/>
      <c r="P39" s="108"/>
      <c r="Q39" s="1"/>
      <c r="R39" s="5" t="s">
        <v>92</v>
      </c>
      <c r="S39" s="5" t="s">
        <v>93</v>
      </c>
      <c r="T39" s="5" t="s">
        <v>94</v>
      </c>
      <c r="W39" s="96" t="s">
        <v>26</v>
      </c>
      <c r="X39" s="97" t="s">
        <v>10</v>
      </c>
    </row>
    <row r="40" spans="3:24" x14ac:dyDescent="0.25">
      <c r="C40" s="88">
        <v>44498</v>
      </c>
      <c r="D40" s="94" t="s">
        <v>0</v>
      </c>
      <c r="E40" s="95" t="s">
        <v>28</v>
      </c>
      <c r="F40" s="94" t="s">
        <v>8</v>
      </c>
      <c r="G40" s="95" t="s">
        <v>6</v>
      </c>
      <c r="H40" s="94" t="s">
        <v>12</v>
      </c>
      <c r="I40" s="95" t="s">
        <v>95</v>
      </c>
      <c r="J40" s="96" t="s">
        <v>1</v>
      </c>
      <c r="K40" s="97" t="s">
        <v>10</v>
      </c>
      <c r="L40" s="32"/>
      <c r="M40" s="55" t="s">
        <v>10</v>
      </c>
      <c r="N40" s="192" t="s">
        <v>91</v>
      </c>
      <c r="O40" s="193"/>
      <c r="P40" s="193"/>
      <c r="Q40" s="1"/>
      <c r="W40" s="96" t="s">
        <v>1</v>
      </c>
      <c r="X40" s="97" t="s">
        <v>4</v>
      </c>
    </row>
    <row r="41" spans="3:24" x14ac:dyDescent="0.25">
      <c r="C41" s="88">
        <v>44499</v>
      </c>
      <c r="D41" s="94" t="s">
        <v>0</v>
      </c>
      <c r="E41" s="95" t="s">
        <v>28</v>
      </c>
      <c r="F41" s="94" t="s">
        <v>8</v>
      </c>
      <c r="G41" s="95" t="s">
        <v>6</v>
      </c>
      <c r="H41" s="94" t="s">
        <v>12</v>
      </c>
      <c r="I41" s="95" t="s">
        <v>95</v>
      </c>
      <c r="J41" s="96" t="s">
        <v>1</v>
      </c>
      <c r="K41" s="97" t="s">
        <v>10</v>
      </c>
      <c r="L41" s="32"/>
      <c r="M41" s="55" t="s">
        <v>4</v>
      </c>
      <c r="N41" s="192"/>
      <c r="O41" s="193"/>
      <c r="P41" s="193"/>
      <c r="Q41" s="1"/>
      <c r="W41" s="96" t="s">
        <v>1</v>
      </c>
      <c r="X41" s="97" t="s">
        <v>4</v>
      </c>
    </row>
    <row r="42" spans="3:24" x14ac:dyDescent="0.25">
      <c r="C42" s="88">
        <v>44500</v>
      </c>
      <c r="D42" s="94" t="s">
        <v>27</v>
      </c>
      <c r="E42" s="95" t="s">
        <v>28</v>
      </c>
      <c r="F42" s="94" t="s">
        <v>8</v>
      </c>
      <c r="G42" s="95" t="s">
        <v>59</v>
      </c>
      <c r="H42" s="96" t="s">
        <v>26</v>
      </c>
      <c r="I42" s="97" t="s">
        <v>95</v>
      </c>
      <c r="J42" s="96" t="s">
        <v>1</v>
      </c>
      <c r="K42" s="95" t="s">
        <v>4</v>
      </c>
      <c r="L42" s="32"/>
      <c r="M42" s="55" t="s">
        <v>28</v>
      </c>
      <c r="N42" s="192"/>
      <c r="O42" s="193"/>
      <c r="P42" s="193"/>
      <c r="Q42" s="100" t="s">
        <v>98</v>
      </c>
      <c r="W42" s="96" t="s">
        <v>1</v>
      </c>
      <c r="X42" s="97" t="s">
        <v>4</v>
      </c>
    </row>
    <row r="43" spans="3:24" x14ac:dyDescent="0.25">
      <c r="C43" s="36"/>
      <c r="D43"/>
      <c r="E43"/>
      <c r="F43"/>
      <c r="G43"/>
      <c r="H43"/>
      <c r="I43"/>
      <c r="J43"/>
      <c r="K43"/>
      <c r="M43" s="55" t="s">
        <v>6</v>
      </c>
      <c r="N43" s="192"/>
      <c r="O43" s="193"/>
      <c r="P43" s="193"/>
      <c r="Q43" s="1"/>
      <c r="W43" s="96" t="s">
        <v>1</v>
      </c>
      <c r="X43" s="97" t="s">
        <v>4</v>
      </c>
    </row>
    <row r="44" spans="3:24" x14ac:dyDescent="0.25">
      <c r="D44"/>
      <c r="E44"/>
      <c r="F44"/>
      <c r="G44"/>
      <c r="H44"/>
      <c r="I44"/>
      <c r="J44"/>
      <c r="K44"/>
      <c r="M44" s="55" t="s">
        <v>59</v>
      </c>
      <c r="N44" s="192"/>
      <c r="O44" s="193"/>
      <c r="P44" s="193"/>
      <c r="Q44" s="1"/>
      <c r="W44" s="96" t="s">
        <v>0</v>
      </c>
      <c r="X44" s="97" t="s">
        <v>28</v>
      </c>
    </row>
    <row r="45" spans="3:24" x14ac:dyDescent="0.25">
      <c r="D45"/>
      <c r="E45"/>
      <c r="F45"/>
      <c r="G45"/>
      <c r="H45"/>
      <c r="I45"/>
      <c r="J45"/>
      <c r="K45"/>
      <c r="M45" s="55" t="s">
        <v>95</v>
      </c>
      <c r="N45" s="192"/>
      <c r="O45" s="193"/>
      <c r="P45" s="193"/>
      <c r="W45" s="96" t="s">
        <v>0</v>
      </c>
      <c r="X45" s="97" t="s">
        <v>28</v>
      </c>
    </row>
    <row r="46" spans="3:24" x14ac:dyDescent="0.25">
      <c r="D46"/>
      <c r="E46"/>
      <c r="F46"/>
      <c r="G46"/>
      <c r="H46"/>
      <c r="I46"/>
      <c r="J46"/>
      <c r="K46"/>
      <c r="W46" s="96" t="s">
        <v>0</v>
      </c>
      <c r="X46" s="97" t="s">
        <v>28</v>
      </c>
    </row>
    <row r="47" spans="3:24" x14ac:dyDescent="0.25">
      <c r="W47" s="96" t="s">
        <v>0</v>
      </c>
      <c r="X47" s="97" t="s">
        <v>28</v>
      </c>
    </row>
    <row r="48" spans="3:24" x14ac:dyDescent="0.25">
      <c r="W48" s="96" t="s">
        <v>27</v>
      </c>
      <c r="X48" s="97" t="s">
        <v>6</v>
      </c>
    </row>
    <row r="49" spans="23:24" x14ac:dyDescent="0.25">
      <c r="W49" s="96" t="s">
        <v>27</v>
      </c>
      <c r="X49" s="97" t="s">
        <v>6</v>
      </c>
    </row>
    <row r="50" spans="23:24" x14ac:dyDescent="0.25">
      <c r="W50" s="96" t="s">
        <v>27</v>
      </c>
      <c r="X50" s="97" t="s">
        <v>6</v>
      </c>
    </row>
    <row r="51" spans="23:24" x14ac:dyDescent="0.25">
      <c r="W51" s="96" t="s">
        <v>27</v>
      </c>
      <c r="X51" s="97" t="s">
        <v>6</v>
      </c>
    </row>
    <row r="52" spans="23:24" x14ac:dyDescent="0.25">
      <c r="W52" s="96" t="s">
        <v>8</v>
      </c>
      <c r="X52" s="97" t="s">
        <v>59</v>
      </c>
    </row>
    <row r="53" spans="23:24" x14ac:dyDescent="0.25">
      <c r="W53" s="96" t="s">
        <v>8</v>
      </c>
      <c r="X53" s="97" t="s">
        <v>59</v>
      </c>
    </row>
    <row r="54" spans="23:24" x14ac:dyDescent="0.25">
      <c r="W54" s="96" t="s">
        <v>8</v>
      </c>
      <c r="X54" s="97" t="s">
        <v>59</v>
      </c>
    </row>
    <row r="55" spans="23:24" x14ac:dyDescent="0.25">
      <c r="W55" s="96" t="s">
        <v>8</v>
      </c>
      <c r="X55" s="97" t="s">
        <v>59</v>
      </c>
    </row>
    <row r="56" spans="23:24" x14ac:dyDescent="0.25">
      <c r="W56" s="96" t="s">
        <v>12</v>
      </c>
      <c r="X56" s="97" t="s">
        <v>95</v>
      </c>
    </row>
    <row r="57" spans="23:24" x14ac:dyDescent="0.25">
      <c r="W57" s="96" t="s">
        <v>12</v>
      </c>
      <c r="X57" s="97" t="s">
        <v>95</v>
      </c>
    </row>
    <row r="58" spans="23:24" x14ac:dyDescent="0.25">
      <c r="W58" s="96" t="s">
        <v>12</v>
      </c>
      <c r="X58" s="97" t="s">
        <v>95</v>
      </c>
    </row>
    <row r="59" spans="23:24" x14ac:dyDescent="0.25">
      <c r="W59" s="96" t="s">
        <v>12</v>
      </c>
      <c r="X59" s="97" t="s">
        <v>95</v>
      </c>
    </row>
    <row r="60" spans="23:24" x14ac:dyDescent="0.25">
      <c r="W60" s="96" t="s">
        <v>26</v>
      </c>
      <c r="X60" s="97" t="s">
        <v>10</v>
      </c>
    </row>
    <row r="61" spans="23:24" x14ac:dyDescent="0.25">
      <c r="W61" s="96" t="s">
        <v>26</v>
      </c>
      <c r="X61" s="97" t="s">
        <v>10</v>
      </c>
    </row>
    <row r="62" spans="23:24" x14ac:dyDescent="0.25">
      <c r="W62" s="111" t="s">
        <v>26</v>
      </c>
      <c r="X62" s="97" t="s">
        <v>10</v>
      </c>
    </row>
    <row r="63" spans="23:24" x14ac:dyDescent="0.25">
      <c r="W63" s="96" t="s">
        <v>26</v>
      </c>
      <c r="X63" s="97" t="s">
        <v>10</v>
      </c>
    </row>
    <row r="64" spans="23:24" x14ac:dyDescent="0.25">
      <c r="W64" s="96" t="s">
        <v>1</v>
      </c>
      <c r="X64" s="97" t="s">
        <v>4</v>
      </c>
    </row>
    <row r="65" spans="23:24" x14ac:dyDescent="0.25">
      <c r="W65" s="96" t="s">
        <v>1</v>
      </c>
      <c r="X65" s="97" t="s">
        <v>4</v>
      </c>
    </row>
    <row r="66" spans="23:24" x14ac:dyDescent="0.25">
      <c r="W66" s="96" t="s">
        <v>1</v>
      </c>
      <c r="X66" s="97" t="s">
        <v>4</v>
      </c>
    </row>
    <row r="67" spans="23:24" x14ac:dyDescent="0.25">
      <c r="W67" s="96" t="s">
        <v>1</v>
      </c>
      <c r="X67" s="97" t="s">
        <v>4</v>
      </c>
    </row>
    <row r="68" spans="23:24" x14ac:dyDescent="0.25">
      <c r="W68" s="96" t="s">
        <v>0</v>
      </c>
      <c r="X68" s="97" t="s">
        <v>28</v>
      </c>
    </row>
    <row r="69" spans="23:24" x14ac:dyDescent="0.25">
      <c r="W69" s="96" t="s">
        <v>0</v>
      </c>
      <c r="X69" s="97" t="s">
        <v>28</v>
      </c>
    </row>
    <row r="70" spans="23:24" x14ac:dyDescent="0.25">
      <c r="W70" s="96" t="s">
        <v>0</v>
      </c>
      <c r="X70" s="97" t="s">
        <v>28</v>
      </c>
    </row>
    <row r="71" spans="23:24" x14ac:dyDescent="0.25">
      <c r="W71" s="96" t="s">
        <v>0</v>
      </c>
      <c r="X71" s="97" t="s">
        <v>28</v>
      </c>
    </row>
    <row r="72" spans="23:24" x14ac:dyDescent="0.25">
      <c r="W72" s="96" t="s">
        <v>27</v>
      </c>
      <c r="X72" s="97" t="s">
        <v>6</v>
      </c>
    </row>
    <row r="73" spans="23:24" x14ac:dyDescent="0.25">
      <c r="W73" s="96" t="s">
        <v>27</v>
      </c>
      <c r="X73" s="97" t="s">
        <v>6</v>
      </c>
    </row>
    <row r="74" spans="23:24" x14ac:dyDescent="0.25">
      <c r="W74" s="96" t="s">
        <v>27</v>
      </c>
      <c r="X74" s="97" t="s">
        <v>6</v>
      </c>
    </row>
    <row r="75" spans="23:24" x14ac:dyDescent="0.25">
      <c r="W75" s="96" t="s">
        <v>27</v>
      </c>
      <c r="X75" s="97" t="s">
        <v>6</v>
      </c>
    </row>
    <row r="76" spans="23:24" x14ac:dyDescent="0.25">
      <c r="W76" s="96" t="s">
        <v>8</v>
      </c>
      <c r="X76" s="97" t="s">
        <v>59</v>
      </c>
    </row>
    <row r="77" spans="23:24" x14ac:dyDescent="0.25">
      <c r="W77" s="96" t="s">
        <v>8</v>
      </c>
      <c r="X77" s="97" t="s">
        <v>59</v>
      </c>
    </row>
    <row r="78" spans="23:24" x14ac:dyDescent="0.25">
      <c r="W78" s="96" t="s">
        <v>8</v>
      </c>
      <c r="X78" s="97" t="s">
        <v>59</v>
      </c>
    </row>
    <row r="79" spans="23:24" x14ac:dyDescent="0.25">
      <c r="W79" s="96" t="s">
        <v>8</v>
      </c>
      <c r="X79" s="97" t="s">
        <v>59</v>
      </c>
    </row>
    <row r="80" spans="23:24" x14ac:dyDescent="0.25">
      <c r="W80" s="96" t="s">
        <v>12</v>
      </c>
      <c r="X80" s="97" t="s">
        <v>95</v>
      </c>
    </row>
    <row r="81" spans="23:24" x14ac:dyDescent="0.25">
      <c r="W81" s="96" t="s">
        <v>12</v>
      </c>
      <c r="X81" s="97" t="s">
        <v>95</v>
      </c>
    </row>
    <row r="82" spans="23:24" x14ac:dyDescent="0.25">
      <c r="W82" s="96" t="s">
        <v>12</v>
      </c>
      <c r="X82" s="97" t="s">
        <v>95</v>
      </c>
    </row>
    <row r="83" spans="23:24" x14ac:dyDescent="0.25">
      <c r="W83" s="96" t="s">
        <v>12</v>
      </c>
      <c r="X83" s="97" t="s">
        <v>95</v>
      </c>
    </row>
  </sheetData>
  <autoFilter ref="B11:T42" xr:uid="{00000000-0009-0000-0000-000009000000}">
    <filterColumn colId="0" showButton="0"/>
  </autoFilter>
  <mergeCells count="3">
    <mergeCell ref="C2:D2"/>
    <mergeCell ref="E2:F2"/>
    <mergeCell ref="N40:P45"/>
  </mergeCells>
  <pageMargins left="0.25" right="0.25" top="0.75" bottom="0.75" header="0.3" footer="0.3"/>
  <pageSetup paperSize="9" scale="53" orientation="landscape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F5812-9044-4228-9CE6-D8BED54A73E9}">
  <sheetPr>
    <pageSetUpPr fitToPage="1"/>
  </sheetPr>
  <dimension ref="B1:V83"/>
  <sheetViews>
    <sheetView showGridLines="0" topLeftCell="A12" zoomScale="85" zoomScaleNormal="85" workbookViewId="0">
      <selection activeCell="N38" sqref="N38:Q44"/>
    </sheetView>
  </sheetViews>
  <sheetFormatPr defaultColWidth="9.140625" defaultRowHeight="15" x14ac:dyDescent="0.25"/>
  <cols>
    <col min="1" max="1" width="2.42578125" style="2" customWidth="1"/>
    <col min="2" max="2" width="11.5703125" bestFit="1" customWidth="1"/>
    <col min="3" max="3" width="12.5703125" style="2" customWidth="1"/>
    <col min="4" max="11" width="13.7109375" style="27" customWidth="1"/>
    <col min="12" max="12" width="4.7109375" style="2" customWidth="1"/>
    <col min="13" max="13" width="9.140625" style="2"/>
    <col min="14" max="16" width="16.42578125" style="2" customWidth="1"/>
    <col min="17" max="17" width="9.140625" style="2"/>
    <col min="18" max="19" width="11" style="2" customWidth="1"/>
    <col min="20" max="20" width="11" style="1" customWidth="1"/>
    <col min="21" max="16384" width="9.140625" style="2"/>
  </cols>
  <sheetData>
    <row r="1" spans="3:22" x14ac:dyDescent="0.25">
      <c r="C1"/>
      <c r="D1"/>
      <c r="E1"/>
      <c r="F1"/>
      <c r="G1"/>
      <c r="K1"/>
    </row>
    <row r="2" spans="3:22" ht="15" customHeight="1" x14ac:dyDescent="0.25">
      <c r="C2"/>
      <c r="D2"/>
      <c r="E2"/>
      <c r="F2"/>
      <c r="G2"/>
      <c r="H2"/>
      <c r="I2" s="2"/>
      <c r="J2" s="2"/>
      <c r="K2" s="2"/>
      <c r="T2" s="2"/>
    </row>
    <row r="3" spans="3:22" ht="15" customHeight="1" x14ac:dyDescent="0.25">
      <c r="C3"/>
      <c r="D3"/>
      <c r="E3"/>
      <c r="F3"/>
      <c r="G3"/>
      <c r="H3" s="2"/>
      <c r="I3" s="2"/>
      <c r="J3" s="2"/>
      <c r="K3" s="2"/>
      <c r="T3" s="2"/>
    </row>
    <row r="4" spans="3:22" ht="15" customHeight="1" x14ac:dyDescent="0.25">
      <c r="C4"/>
      <c r="D4"/>
      <c r="E4"/>
      <c r="F4"/>
      <c r="G4"/>
      <c r="H4" s="2"/>
      <c r="I4" s="2"/>
      <c r="J4" s="2"/>
      <c r="K4" s="2"/>
      <c r="T4" s="2"/>
    </row>
    <row r="5" spans="3:22" x14ac:dyDescent="0.25">
      <c r="C5"/>
      <c r="D5"/>
      <c r="E5"/>
      <c r="F5"/>
      <c r="G5"/>
      <c r="H5" s="2"/>
      <c r="I5" s="2"/>
      <c r="J5" s="2"/>
      <c r="K5" s="2"/>
      <c r="T5" s="2"/>
    </row>
    <row r="6" spans="3:22" x14ac:dyDescent="0.25">
      <c r="C6"/>
      <c r="D6"/>
      <c r="E6"/>
      <c r="F6"/>
      <c r="G6"/>
      <c r="H6" s="2"/>
      <c r="I6" s="2"/>
      <c r="J6" s="2"/>
      <c r="K6" s="2"/>
      <c r="T6" s="2"/>
    </row>
    <row r="7" spans="3:22" x14ac:dyDescent="0.25">
      <c r="C7"/>
      <c r="D7"/>
      <c r="E7"/>
      <c r="F7"/>
      <c r="G7"/>
      <c r="H7" s="2"/>
      <c r="I7" s="2"/>
      <c r="J7" s="2"/>
      <c r="K7" s="2"/>
      <c r="T7" s="2"/>
    </row>
    <row r="8" spans="3:22" x14ac:dyDescent="0.25">
      <c r="C8"/>
      <c r="D8"/>
      <c r="E8"/>
      <c r="F8"/>
      <c r="G8"/>
      <c r="H8" s="2"/>
      <c r="I8" s="2"/>
      <c r="J8" s="2"/>
      <c r="K8" s="2"/>
      <c r="T8" s="2"/>
    </row>
    <row r="9" spans="3:22" x14ac:dyDescent="0.25">
      <c r="C9"/>
      <c r="D9"/>
      <c r="E9"/>
      <c r="F9"/>
      <c r="G9"/>
      <c r="H9" s="6"/>
      <c r="I9" s="6"/>
      <c r="J9" s="6"/>
      <c r="K9" s="6"/>
    </row>
    <row r="10" spans="3:22" x14ac:dyDescent="0.25">
      <c r="C10" s="28"/>
      <c r="D10" s="29"/>
      <c r="E10" s="29"/>
      <c r="F10" s="29"/>
      <c r="G10" s="29"/>
      <c r="H10" s="29"/>
      <c r="I10" s="29"/>
      <c r="J10" s="29"/>
      <c r="K10" s="29"/>
    </row>
    <row r="11" spans="3:22" ht="15.75" customHeight="1" x14ac:dyDescent="0.25">
      <c r="C11" s="45" t="s">
        <v>39</v>
      </c>
      <c r="D11" s="46" t="s">
        <v>53</v>
      </c>
      <c r="E11" s="46" t="s">
        <v>53</v>
      </c>
      <c r="F11" s="46" t="s">
        <v>54</v>
      </c>
      <c r="G11" s="46" t="s">
        <v>54</v>
      </c>
      <c r="H11" s="46" t="s">
        <v>55</v>
      </c>
      <c r="I11" s="46" t="s">
        <v>55</v>
      </c>
      <c r="J11" s="46" t="s">
        <v>56</v>
      </c>
      <c r="K11" s="46" t="s">
        <v>56</v>
      </c>
    </row>
    <row r="12" spans="3:22" ht="15.75" x14ac:dyDescent="0.25">
      <c r="C12" s="88">
        <v>44470</v>
      </c>
      <c r="D12" s="94" t="s">
        <v>1</v>
      </c>
      <c r="E12" s="95" t="s">
        <v>4</v>
      </c>
      <c r="F12" s="94" t="s">
        <v>0</v>
      </c>
      <c r="G12" s="95" t="s">
        <v>28</v>
      </c>
      <c r="H12" s="94" t="s">
        <v>27</v>
      </c>
      <c r="I12" s="95" t="s">
        <v>6</v>
      </c>
      <c r="J12" s="96" t="s">
        <v>26</v>
      </c>
      <c r="K12" s="97" t="s">
        <v>10</v>
      </c>
      <c r="L12" s="30"/>
      <c r="M12" s="4" t="s">
        <v>44</v>
      </c>
      <c r="N12" s="4" t="s">
        <v>15</v>
      </c>
      <c r="O12" s="4" t="s">
        <v>16</v>
      </c>
      <c r="P12" s="4" t="s">
        <v>17</v>
      </c>
      <c r="Q12" s="4" t="s">
        <v>18</v>
      </c>
      <c r="R12" s="4" t="s">
        <v>57</v>
      </c>
      <c r="S12" s="31" t="s">
        <v>58</v>
      </c>
      <c r="T12" s="2"/>
      <c r="V12" s="97" t="s">
        <v>10</v>
      </c>
    </row>
    <row r="13" spans="3:22" ht="15.75" x14ac:dyDescent="0.25">
      <c r="C13" s="88">
        <v>44471</v>
      </c>
      <c r="D13" s="94" t="s">
        <v>1</v>
      </c>
      <c r="E13" s="95" t="s">
        <v>4</v>
      </c>
      <c r="F13" s="94" t="s">
        <v>0</v>
      </c>
      <c r="G13" s="95" t="s">
        <v>28</v>
      </c>
      <c r="H13" s="94" t="s">
        <v>8</v>
      </c>
      <c r="I13" s="95" t="s">
        <v>59</v>
      </c>
      <c r="J13" s="96" t="s">
        <v>26</v>
      </c>
      <c r="K13" s="97" t="s">
        <v>10</v>
      </c>
      <c r="M13" s="47" t="s">
        <v>26</v>
      </c>
      <c r="N13" s="42">
        <f>COUNTIF($D$12:$D$42,M13)</f>
        <v>4</v>
      </c>
      <c r="O13" s="42">
        <f>COUNTIF($F$12:$F$42,"A")</f>
        <v>5</v>
      </c>
      <c r="P13" s="42">
        <f>COUNTIF($H$12:$H$42,"A")</f>
        <v>8</v>
      </c>
      <c r="Q13" s="42">
        <f>COUNTIF($J$12:$J$42,"A")</f>
        <v>8</v>
      </c>
      <c r="R13" s="43">
        <f t="shared" ref="R13:R26" si="0">SUM(N13:Q13)</f>
        <v>25</v>
      </c>
      <c r="S13" s="42">
        <f>31-R13</f>
        <v>6</v>
      </c>
      <c r="T13" s="2"/>
      <c r="V13" s="97" t="s">
        <v>10</v>
      </c>
    </row>
    <row r="14" spans="3:22" ht="15.75" x14ac:dyDescent="0.25">
      <c r="C14" s="88">
        <v>44472</v>
      </c>
      <c r="D14" s="94" t="s">
        <v>1</v>
      </c>
      <c r="E14" s="95" t="s">
        <v>4</v>
      </c>
      <c r="F14" s="96" t="s">
        <v>27</v>
      </c>
      <c r="G14" s="95" t="s">
        <v>6</v>
      </c>
      <c r="H14" s="94" t="s">
        <v>8</v>
      </c>
      <c r="I14" s="95" t="s">
        <v>59</v>
      </c>
      <c r="J14" s="96" t="s">
        <v>26</v>
      </c>
      <c r="K14" s="97" t="s">
        <v>10</v>
      </c>
      <c r="L14" s="32"/>
      <c r="M14" s="48" t="s">
        <v>1</v>
      </c>
      <c r="N14" s="42">
        <f t="shared" ref="N14:N18" si="1">COUNTIF($D$12:$D$42,M14)</f>
        <v>7</v>
      </c>
      <c r="O14" s="42">
        <f>COUNTIF($F$12:$F$42,"B")</f>
        <v>4</v>
      </c>
      <c r="P14" s="42">
        <f>COUNTIF($H$12:$H$42,"B")</f>
        <v>6</v>
      </c>
      <c r="Q14" s="42">
        <f>COUNTIF($J$12:$J$42,"B")</f>
        <v>8</v>
      </c>
      <c r="R14" s="43">
        <f t="shared" si="0"/>
        <v>25</v>
      </c>
      <c r="S14" s="42">
        <f t="shared" ref="S14:S26" si="2">31-R14</f>
        <v>6</v>
      </c>
      <c r="T14" s="2"/>
      <c r="V14" s="97" t="s">
        <v>10</v>
      </c>
    </row>
    <row r="15" spans="3:22" ht="15.75" x14ac:dyDescent="0.25">
      <c r="C15" s="88">
        <v>44473</v>
      </c>
      <c r="D15" s="94" t="s">
        <v>0</v>
      </c>
      <c r="E15" s="95" t="s">
        <v>28</v>
      </c>
      <c r="F15" s="96" t="s">
        <v>27</v>
      </c>
      <c r="G15" s="95" t="s">
        <v>6</v>
      </c>
      <c r="H15" s="94" t="s">
        <v>8</v>
      </c>
      <c r="I15" s="95" t="s">
        <v>59</v>
      </c>
      <c r="J15" s="96" t="s">
        <v>26</v>
      </c>
      <c r="K15" s="97" t="s">
        <v>10</v>
      </c>
      <c r="L15" s="32"/>
      <c r="M15" s="48" t="s">
        <v>0</v>
      </c>
      <c r="N15" s="42">
        <f t="shared" si="1"/>
        <v>8</v>
      </c>
      <c r="O15" s="42">
        <f>COUNTIF($F$12:$F$42,"C")</f>
        <v>6</v>
      </c>
      <c r="P15" s="42">
        <f>COUNTIF($H$12:$H$42,"C")</f>
        <v>4</v>
      </c>
      <c r="Q15" s="42">
        <f>COUNTIF($J$12:$J$42,"C")</f>
        <v>7</v>
      </c>
      <c r="R15" s="43">
        <f t="shared" si="0"/>
        <v>25</v>
      </c>
      <c r="S15" s="42">
        <f t="shared" si="2"/>
        <v>6</v>
      </c>
      <c r="T15" s="2"/>
      <c r="V15" s="97" t="s">
        <v>10</v>
      </c>
    </row>
    <row r="16" spans="3:22" ht="15.75" x14ac:dyDescent="0.25">
      <c r="C16" s="88">
        <v>44474</v>
      </c>
      <c r="D16" s="94" t="s">
        <v>0</v>
      </c>
      <c r="E16" s="95" t="s">
        <v>28</v>
      </c>
      <c r="F16" s="96" t="s">
        <v>27</v>
      </c>
      <c r="G16" s="95" t="s">
        <v>6</v>
      </c>
      <c r="H16" s="94" t="s">
        <v>8</v>
      </c>
      <c r="I16" s="95" t="s">
        <v>59</v>
      </c>
      <c r="J16" s="96" t="s">
        <v>1</v>
      </c>
      <c r="K16" s="97" t="s">
        <v>4</v>
      </c>
      <c r="L16" s="32"/>
      <c r="M16" s="48" t="s">
        <v>27</v>
      </c>
      <c r="N16" s="42">
        <f t="shared" si="1"/>
        <v>8</v>
      </c>
      <c r="O16" s="42">
        <f>COUNTIF($F$12:$F$42,"D")</f>
        <v>8</v>
      </c>
      <c r="P16" s="42">
        <f>COUNTIF($H$12:$H$42,"D")</f>
        <v>5</v>
      </c>
      <c r="Q16" s="42">
        <f>COUNTIF($J$12:$J$42,"D")</f>
        <v>4</v>
      </c>
      <c r="R16" s="43">
        <f t="shared" si="0"/>
        <v>25</v>
      </c>
      <c r="S16" s="42">
        <f t="shared" si="2"/>
        <v>6</v>
      </c>
      <c r="T16" s="2"/>
      <c r="V16" s="97" t="s">
        <v>4</v>
      </c>
    </row>
    <row r="17" spans="2:22" ht="15.75" x14ac:dyDescent="0.25">
      <c r="C17" s="88">
        <v>44475</v>
      </c>
      <c r="D17" s="96" t="s">
        <v>0</v>
      </c>
      <c r="E17" s="95" t="s">
        <v>28</v>
      </c>
      <c r="F17" s="96" t="s">
        <v>27</v>
      </c>
      <c r="G17" s="95" t="s">
        <v>6</v>
      </c>
      <c r="H17" s="94" t="s">
        <v>26</v>
      </c>
      <c r="I17" s="95" t="s">
        <v>10</v>
      </c>
      <c r="J17" s="96" t="s">
        <v>1</v>
      </c>
      <c r="K17" s="97" t="s">
        <v>4</v>
      </c>
      <c r="L17" s="33"/>
      <c r="M17" s="48" t="s">
        <v>8</v>
      </c>
      <c r="N17" s="42">
        <f t="shared" si="1"/>
        <v>4</v>
      </c>
      <c r="O17" s="42">
        <f>COUNTIF($F$12:$F$42,"E")</f>
        <v>8</v>
      </c>
      <c r="P17" s="42">
        <f>COUNTIF($H$12:$H$42,"E")</f>
        <v>8</v>
      </c>
      <c r="Q17" s="42">
        <f>COUNTIF($J$12:$J$42,"E")</f>
        <v>4</v>
      </c>
      <c r="R17" s="43">
        <f t="shared" si="0"/>
        <v>24</v>
      </c>
      <c r="S17" s="42">
        <f t="shared" si="2"/>
        <v>7</v>
      </c>
      <c r="T17" s="2"/>
      <c r="V17" s="97" t="s">
        <v>4</v>
      </c>
    </row>
    <row r="18" spans="2:22" ht="15.75" x14ac:dyDescent="0.25">
      <c r="C18" s="88">
        <v>44476</v>
      </c>
      <c r="D18" s="96" t="s">
        <v>0</v>
      </c>
      <c r="E18" s="95" t="s">
        <v>28</v>
      </c>
      <c r="F18" s="96" t="s">
        <v>8</v>
      </c>
      <c r="G18" s="95" t="s">
        <v>59</v>
      </c>
      <c r="H18" s="94" t="s">
        <v>26</v>
      </c>
      <c r="I18" s="95" t="s">
        <v>10</v>
      </c>
      <c r="J18" s="96" t="s">
        <v>1</v>
      </c>
      <c r="K18" s="97" t="s">
        <v>4</v>
      </c>
      <c r="L18" s="32"/>
      <c r="M18" s="48" t="s">
        <v>12</v>
      </c>
      <c r="N18" s="42">
        <f t="shared" si="1"/>
        <v>0</v>
      </c>
      <c r="O18" s="42">
        <f>COUNTIF($F$12:$F$42,"F")</f>
        <v>0</v>
      </c>
      <c r="P18" s="42">
        <f>COUNTIF($H$12:$H$42,"F")</f>
        <v>0</v>
      </c>
      <c r="Q18" s="42">
        <f>COUNTIF($J$12:$J$42,"F")</f>
        <v>0</v>
      </c>
      <c r="R18" s="43">
        <f t="shared" si="0"/>
        <v>0</v>
      </c>
      <c r="S18" s="42">
        <f t="shared" si="2"/>
        <v>31</v>
      </c>
      <c r="T18" s="2"/>
      <c r="V18" s="97" t="s">
        <v>4</v>
      </c>
    </row>
    <row r="19" spans="2:22" ht="15.75" x14ac:dyDescent="0.25">
      <c r="C19" s="88">
        <v>44477</v>
      </c>
      <c r="D19" s="96" t="s">
        <v>27</v>
      </c>
      <c r="E19" s="95" t="s">
        <v>6</v>
      </c>
      <c r="F19" s="96" t="s">
        <v>8</v>
      </c>
      <c r="G19" s="95" t="s">
        <v>59</v>
      </c>
      <c r="H19" s="94" t="s">
        <v>26</v>
      </c>
      <c r="I19" s="95" t="s">
        <v>10</v>
      </c>
      <c r="J19" s="96" t="s">
        <v>1</v>
      </c>
      <c r="K19" s="97" t="s">
        <v>4</v>
      </c>
      <c r="L19" s="32"/>
      <c r="M19" s="48" t="s">
        <v>3</v>
      </c>
      <c r="N19" s="42">
        <f>COUNTIF($E$12:$E$42,"G")</f>
        <v>0</v>
      </c>
      <c r="O19" s="42">
        <f>COUNTIF($G$12:$G$42,"G")</f>
        <v>0</v>
      </c>
      <c r="P19" s="42">
        <f>COUNTIF($I$12:$I$42,"G")</f>
        <v>0</v>
      </c>
      <c r="Q19" s="42">
        <f>COUNTIF($K$12:$K$42,"G")</f>
        <v>0</v>
      </c>
      <c r="R19" s="43">
        <f t="shared" si="0"/>
        <v>0</v>
      </c>
      <c r="S19" s="42">
        <f t="shared" si="2"/>
        <v>31</v>
      </c>
      <c r="T19" s="2"/>
      <c r="V19" s="97" t="s">
        <v>4</v>
      </c>
    </row>
    <row r="20" spans="2:22" ht="15.75" x14ac:dyDescent="0.25">
      <c r="C20" s="88">
        <v>44478</v>
      </c>
      <c r="D20" s="96" t="s">
        <v>27</v>
      </c>
      <c r="E20" s="95" t="s">
        <v>6</v>
      </c>
      <c r="F20" s="96" t="s">
        <v>8</v>
      </c>
      <c r="G20" s="95" t="s">
        <v>59</v>
      </c>
      <c r="H20" s="94" t="s">
        <v>26</v>
      </c>
      <c r="I20" s="95" t="s">
        <v>10</v>
      </c>
      <c r="J20" s="96" t="s">
        <v>0</v>
      </c>
      <c r="K20" s="97" t="s">
        <v>28</v>
      </c>
      <c r="L20" s="32"/>
      <c r="M20" s="55" t="s">
        <v>10</v>
      </c>
      <c r="N20" s="53">
        <f>COUNTIF($E$12:$E$42,M20)</f>
        <v>4</v>
      </c>
      <c r="O20" s="53">
        <f>COUNTIF($G$12:$G$42,M20)</f>
        <v>5</v>
      </c>
      <c r="P20" s="53">
        <f>COUNTIF($I$12:$I$42,M20)</f>
        <v>8</v>
      </c>
      <c r="Q20" s="53">
        <f>COUNTIF($K$12:$K$42,M20)</f>
        <v>8</v>
      </c>
      <c r="R20" s="54">
        <f t="shared" si="0"/>
        <v>25</v>
      </c>
      <c r="S20" s="53">
        <f t="shared" si="2"/>
        <v>6</v>
      </c>
      <c r="T20" s="2"/>
      <c r="V20" s="97" t="s">
        <v>28</v>
      </c>
    </row>
    <row r="21" spans="2:22" ht="15.75" x14ac:dyDescent="0.25">
      <c r="C21" s="88">
        <v>44479</v>
      </c>
      <c r="D21" s="96" t="s">
        <v>27</v>
      </c>
      <c r="E21" s="95" t="s">
        <v>6</v>
      </c>
      <c r="F21" s="96" t="s">
        <v>8</v>
      </c>
      <c r="G21" s="95" t="s">
        <v>59</v>
      </c>
      <c r="H21" s="94" t="s">
        <v>1</v>
      </c>
      <c r="I21" s="97" t="s">
        <v>4</v>
      </c>
      <c r="J21" s="96" t="s">
        <v>0</v>
      </c>
      <c r="K21" s="97" t="s">
        <v>28</v>
      </c>
      <c r="L21" s="34"/>
      <c r="M21" s="55" t="s">
        <v>4</v>
      </c>
      <c r="N21" s="53">
        <f t="shared" ref="N21:N26" si="3">COUNTIF($E$12:$E$42,M21)</f>
        <v>7</v>
      </c>
      <c r="O21" s="53">
        <f t="shared" ref="O21:O26" si="4">COUNTIF($G$12:$G$42,M21)</f>
        <v>4</v>
      </c>
      <c r="P21" s="53">
        <f t="shared" ref="P21:P26" si="5">COUNTIF($I$12:$I$42,M21)</f>
        <v>6</v>
      </c>
      <c r="Q21" s="53">
        <f t="shared" ref="Q21:Q26" si="6">COUNTIF($K$12:$K$42,M21)</f>
        <v>8</v>
      </c>
      <c r="R21" s="54">
        <f t="shared" si="0"/>
        <v>25</v>
      </c>
      <c r="S21" s="53">
        <f t="shared" si="2"/>
        <v>6</v>
      </c>
      <c r="T21" s="2"/>
      <c r="V21" s="97" t="s">
        <v>28</v>
      </c>
    </row>
    <row r="22" spans="2:22" ht="15.75" x14ac:dyDescent="0.25">
      <c r="C22" s="88">
        <v>44480</v>
      </c>
      <c r="D22" s="96" t="s">
        <v>27</v>
      </c>
      <c r="E22" s="95" t="s">
        <v>6</v>
      </c>
      <c r="F22" s="96" t="s">
        <v>26</v>
      </c>
      <c r="G22" s="95" t="s">
        <v>10</v>
      </c>
      <c r="H22" s="94" t="s">
        <v>1</v>
      </c>
      <c r="I22" s="97" t="s">
        <v>4</v>
      </c>
      <c r="J22" s="96" t="s">
        <v>0</v>
      </c>
      <c r="K22" s="97" t="s">
        <v>28</v>
      </c>
      <c r="L22" s="32"/>
      <c r="M22" s="55" t="s">
        <v>28</v>
      </c>
      <c r="N22" s="53">
        <f t="shared" si="3"/>
        <v>8</v>
      </c>
      <c r="O22" s="53">
        <f t="shared" si="4"/>
        <v>6</v>
      </c>
      <c r="P22" s="53">
        <f t="shared" si="5"/>
        <v>4</v>
      </c>
      <c r="Q22" s="53">
        <f t="shared" si="6"/>
        <v>7</v>
      </c>
      <c r="R22" s="54">
        <f t="shared" si="0"/>
        <v>25</v>
      </c>
      <c r="S22" s="53">
        <f t="shared" si="2"/>
        <v>6</v>
      </c>
      <c r="T22" s="2"/>
      <c r="V22" s="97" t="s">
        <v>28</v>
      </c>
    </row>
    <row r="23" spans="2:22" ht="15.75" x14ac:dyDescent="0.25">
      <c r="C23" s="88">
        <v>44481</v>
      </c>
      <c r="D23" s="96" t="s">
        <v>8</v>
      </c>
      <c r="E23" s="95" t="s">
        <v>59</v>
      </c>
      <c r="F23" s="96" t="s">
        <v>26</v>
      </c>
      <c r="G23" s="95" t="s">
        <v>10</v>
      </c>
      <c r="H23" s="94" t="s">
        <v>1</v>
      </c>
      <c r="I23" s="97" t="s">
        <v>4</v>
      </c>
      <c r="J23" s="96" t="s">
        <v>0</v>
      </c>
      <c r="K23" s="97" t="s">
        <v>28</v>
      </c>
      <c r="L23" s="33"/>
      <c r="M23" s="55" t="s">
        <v>6</v>
      </c>
      <c r="N23" s="53">
        <f t="shared" si="3"/>
        <v>8</v>
      </c>
      <c r="O23" s="53">
        <f t="shared" si="4"/>
        <v>8</v>
      </c>
      <c r="P23" s="53">
        <f t="shared" si="5"/>
        <v>5</v>
      </c>
      <c r="Q23" s="53">
        <f t="shared" si="6"/>
        <v>4</v>
      </c>
      <c r="R23" s="54">
        <f t="shared" si="0"/>
        <v>25</v>
      </c>
      <c r="S23" s="53">
        <f t="shared" si="2"/>
        <v>6</v>
      </c>
      <c r="T23" s="2"/>
      <c r="V23" s="97" t="s">
        <v>28</v>
      </c>
    </row>
    <row r="24" spans="2:22" ht="15.75" x14ac:dyDescent="0.25">
      <c r="C24" s="88">
        <v>44482</v>
      </c>
      <c r="D24" s="96" t="s">
        <v>8</v>
      </c>
      <c r="E24" s="95" t="s">
        <v>59</v>
      </c>
      <c r="F24" s="96" t="s">
        <v>26</v>
      </c>
      <c r="G24" s="95" t="s">
        <v>10</v>
      </c>
      <c r="H24" s="94" t="s">
        <v>1</v>
      </c>
      <c r="I24" s="97" t="s">
        <v>4</v>
      </c>
      <c r="J24" s="96" t="s">
        <v>27</v>
      </c>
      <c r="K24" s="97" t="s">
        <v>6</v>
      </c>
      <c r="L24" s="33"/>
      <c r="M24" s="55" t="s">
        <v>59</v>
      </c>
      <c r="N24" s="53">
        <f t="shared" si="3"/>
        <v>4</v>
      </c>
      <c r="O24" s="53">
        <f t="shared" si="4"/>
        <v>8</v>
      </c>
      <c r="P24" s="53">
        <f t="shared" si="5"/>
        <v>8</v>
      </c>
      <c r="Q24" s="53">
        <f t="shared" si="6"/>
        <v>4</v>
      </c>
      <c r="R24" s="54">
        <f t="shared" si="0"/>
        <v>24</v>
      </c>
      <c r="S24" s="53">
        <f t="shared" si="2"/>
        <v>7</v>
      </c>
      <c r="T24" s="2"/>
      <c r="V24" s="97" t="s">
        <v>6</v>
      </c>
    </row>
    <row r="25" spans="2:22" ht="15.75" x14ac:dyDescent="0.25">
      <c r="C25" s="88">
        <v>44483</v>
      </c>
      <c r="D25" s="96" t="s">
        <v>8</v>
      </c>
      <c r="E25" s="95" t="s">
        <v>59</v>
      </c>
      <c r="F25" s="96" t="s">
        <v>26</v>
      </c>
      <c r="G25" s="95" t="s">
        <v>10</v>
      </c>
      <c r="H25" s="94" t="s">
        <v>0</v>
      </c>
      <c r="I25" s="97" t="s">
        <v>28</v>
      </c>
      <c r="J25" s="96" t="s">
        <v>27</v>
      </c>
      <c r="K25" s="97" t="s">
        <v>6</v>
      </c>
      <c r="L25" s="32"/>
      <c r="M25" s="55" t="s">
        <v>95</v>
      </c>
      <c r="N25" s="53">
        <f t="shared" si="3"/>
        <v>0</v>
      </c>
      <c r="O25" s="53">
        <f t="shared" si="4"/>
        <v>0</v>
      </c>
      <c r="P25" s="53">
        <f t="shared" si="5"/>
        <v>0</v>
      </c>
      <c r="Q25" s="53">
        <f t="shared" si="6"/>
        <v>0</v>
      </c>
      <c r="R25" s="54">
        <f t="shared" si="0"/>
        <v>0</v>
      </c>
      <c r="S25" s="53">
        <f t="shared" si="2"/>
        <v>31</v>
      </c>
      <c r="T25" s="2"/>
      <c r="V25" s="97" t="s">
        <v>6</v>
      </c>
    </row>
    <row r="26" spans="2:22" ht="15.75" x14ac:dyDescent="0.25">
      <c r="C26" s="88">
        <v>44484</v>
      </c>
      <c r="D26" s="96" t="s">
        <v>8</v>
      </c>
      <c r="E26" s="95" t="s">
        <v>59</v>
      </c>
      <c r="F26" s="94" t="s">
        <v>1</v>
      </c>
      <c r="G26" s="95" t="s">
        <v>4</v>
      </c>
      <c r="H26" s="94" t="s">
        <v>0</v>
      </c>
      <c r="I26" s="97" t="s">
        <v>28</v>
      </c>
      <c r="J26" s="96" t="s">
        <v>27</v>
      </c>
      <c r="K26" s="97" t="s">
        <v>6</v>
      </c>
      <c r="L26" s="32"/>
      <c r="M26" s="55" t="s">
        <v>99</v>
      </c>
      <c r="N26" s="53">
        <f t="shared" si="3"/>
        <v>0</v>
      </c>
      <c r="O26" s="53">
        <f t="shared" si="4"/>
        <v>0</v>
      </c>
      <c r="P26" s="53">
        <f t="shared" si="5"/>
        <v>0</v>
      </c>
      <c r="Q26" s="53">
        <f t="shared" si="6"/>
        <v>0</v>
      </c>
      <c r="R26" s="54">
        <f t="shared" si="0"/>
        <v>0</v>
      </c>
      <c r="S26" s="53">
        <f t="shared" si="2"/>
        <v>31</v>
      </c>
      <c r="T26" s="2"/>
      <c r="V26" s="97" t="s">
        <v>6</v>
      </c>
    </row>
    <row r="27" spans="2:22" s="27" customFormat="1" x14ac:dyDescent="0.25">
      <c r="B27" s="114"/>
      <c r="C27" s="88">
        <v>44485</v>
      </c>
      <c r="D27" s="96" t="s">
        <v>26</v>
      </c>
      <c r="E27" s="95" t="s">
        <v>10</v>
      </c>
      <c r="F27" s="94" t="s">
        <v>1</v>
      </c>
      <c r="G27" s="95" t="s">
        <v>4</v>
      </c>
      <c r="H27" s="96" t="s">
        <v>0</v>
      </c>
      <c r="I27" s="97" t="s">
        <v>28</v>
      </c>
      <c r="J27" s="96" t="s">
        <v>27</v>
      </c>
      <c r="K27" s="97" t="s">
        <v>6</v>
      </c>
      <c r="L27" s="115"/>
      <c r="M27" s="38"/>
      <c r="N27" s="38"/>
      <c r="O27" s="38"/>
      <c r="P27" s="38"/>
      <c r="Q27" s="38"/>
      <c r="T27" s="117"/>
      <c r="V27" s="97" t="s">
        <v>6</v>
      </c>
    </row>
    <row r="28" spans="2:22" x14ac:dyDescent="0.25">
      <c r="C28" s="88">
        <v>44486</v>
      </c>
      <c r="D28" s="96" t="s">
        <v>26</v>
      </c>
      <c r="E28" s="95" t="s">
        <v>10</v>
      </c>
      <c r="F28" s="94" t="s">
        <v>1</v>
      </c>
      <c r="G28" s="97" t="s">
        <v>4</v>
      </c>
      <c r="H28" s="96" t="s">
        <v>0</v>
      </c>
      <c r="I28" s="97" t="s">
        <v>28</v>
      </c>
      <c r="J28" s="96" t="s">
        <v>8</v>
      </c>
      <c r="K28" s="97" t="s">
        <v>59</v>
      </c>
      <c r="L28" s="32"/>
      <c r="M28" s="189" t="s">
        <v>101</v>
      </c>
      <c r="N28" s="189"/>
      <c r="O28" s="189"/>
      <c r="P28" s="189"/>
      <c r="Q28" s="189"/>
      <c r="R28" s="189"/>
      <c r="S28" s="189"/>
      <c r="T28" s="189"/>
      <c r="V28" s="97" t="s">
        <v>59</v>
      </c>
    </row>
    <row r="29" spans="2:22" x14ac:dyDescent="0.25">
      <c r="C29" s="88">
        <v>44487</v>
      </c>
      <c r="D29" s="96" t="s">
        <v>26</v>
      </c>
      <c r="E29" s="95" t="s">
        <v>10</v>
      </c>
      <c r="F29" s="94" t="s">
        <v>1</v>
      </c>
      <c r="G29" s="97" t="s">
        <v>4</v>
      </c>
      <c r="H29" s="96" t="s">
        <v>27</v>
      </c>
      <c r="I29" s="97" t="s">
        <v>6</v>
      </c>
      <c r="J29" s="96" t="s">
        <v>8</v>
      </c>
      <c r="K29" s="97" t="s">
        <v>59</v>
      </c>
      <c r="L29" s="32"/>
      <c r="M29" s="189"/>
      <c r="N29" s="189"/>
      <c r="O29" s="189"/>
      <c r="P29" s="189"/>
      <c r="Q29" s="189"/>
      <c r="R29" s="189"/>
      <c r="S29" s="189"/>
      <c r="T29" s="189"/>
      <c r="V29" s="97" t="s">
        <v>59</v>
      </c>
    </row>
    <row r="30" spans="2:22" x14ac:dyDescent="0.25">
      <c r="C30" s="88">
        <v>44488</v>
      </c>
      <c r="D30" s="96" t="s">
        <v>26</v>
      </c>
      <c r="E30" s="95" t="s">
        <v>10</v>
      </c>
      <c r="F30" s="94" t="s">
        <v>0</v>
      </c>
      <c r="G30" s="97" t="s">
        <v>28</v>
      </c>
      <c r="H30" s="96" t="s">
        <v>27</v>
      </c>
      <c r="I30" s="97" t="s">
        <v>6</v>
      </c>
      <c r="J30" s="96" t="s">
        <v>8</v>
      </c>
      <c r="K30" s="97" t="s">
        <v>59</v>
      </c>
      <c r="L30" s="32"/>
      <c r="M30" s="103"/>
      <c r="N30" s="104">
        <v>31</v>
      </c>
      <c r="O30" s="104">
        <v>30</v>
      </c>
      <c r="P30" s="104">
        <v>28</v>
      </c>
      <c r="Q30" s="1"/>
      <c r="R30" s="105">
        <v>31</v>
      </c>
      <c r="S30" s="105">
        <v>30</v>
      </c>
      <c r="T30" s="105">
        <v>28</v>
      </c>
      <c r="V30" s="97" t="s">
        <v>59</v>
      </c>
    </row>
    <row r="31" spans="2:22" ht="15.75" x14ac:dyDescent="0.25">
      <c r="C31" s="88">
        <v>44489</v>
      </c>
      <c r="D31" s="96" t="s">
        <v>1</v>
      </c>
      <c r="E31" s="95" t="s">
        <v>4</v>
      </c>
      <c r="F31" s="94" t="s">
        <v>0</v>
      </c>
      <c r="G31" s="97" t="s">
        <v>28</v>
      </c>
      <c r="H31" s="96" t="s">
        <v>27</v>
      </c>
      <c r="I31" s="97" t="s">
        <v>6</v>
      </c>
      <c r="J31" s="96" t="s">
        <v>8</v>
      </c>
      <c r="K31" s="97" t="s">
        <v>59</v>
      </c>
      <c r="L31" s="32"/>
      <c r="M31" s="106" t="s">
        <v>26</v>
      </c>
      <c r="N31" s="1" t="s">
        <v>102</v>
      </c>
      <c r="O31" s="1" t="s">
        <v>103</v>
      </c>
      <c r="P31" s="1" t="s">
        <v>104</v>
      </c>
      <c r="Q31" s="47" t="s">
        <v>26</v>
      </c>
      <c r="R31" s="5" t="s">
        <v>8</v>
      </c>
      <c r="S31" s="5" t="s">
        <v>8</v>
      </c>
      <c r="T31" s="5" t="s">
        <v>27</v>
      </c>
      <c r="V31" s="97" t="s">
        <v>59</v>
      </c>
    </row>
    <row r="32" spans="2:22" x14ac:dyDescent="0.25">
      <c r="C32" s="88">
        <v>44490</v>
      </c>
      <c r="D32" s="96" t="s">
        <v>1</v>
      </c>
      <c r="E32" s="95" t="s">
        <v>4</v>
      </c>
      <c r="F32" s="94" t="s">
        <v>0</v>
      </c>
      <c r="G32" s="97" t="s">
        <v>28</v>
      </c>
      <c r="H32" s="96" t="s">
        <v>27</v>
      </c>
      <c r="I32" s="97" t="s">
        <v>6</v>
      </c>
      <c r="J32" s="96" t="s">
        <v>26</v>
      </c>
      <c r="K32" s="97" t="s">
        <v>10</v>
      </c>
      <c r="L32" s="32"/>
      <c r="M32" s="48" t="s">
        <v>1</v>
      </c>
      <c r="N32" s="1" t="s">
        <v>105</v>
      </c>
      <c r="O32" s="1" t="s">
        <v>105</v>
      </c>
      <c r="P32" s="1" t="s">
        <v>103</v>
      </c>
      <c r="Q32" s="48" t="s">
        <v>1</v>
      </c>
      <c r="R32" s="5" t="s">
        <v>12</v>
      </c>
      <c r="S32" s="5" t="s">
        <v>27</v>
      </c>
      <c r="T32" s="5" t="s">
        <v>8</v>
      </c>
      <c r="V32" s="97" t="s">
        <v>10</v>
      </c>
    </row>
    <row r="33" spans="3:22" x14ac:dyDescent="0.25">
      <c r="C33" s="88">
        <v>44491</v>
      </c>
      <c r="D33" s="94" t="s">
        <v>1</v>
      </c>
      <c r="E33" s="95" t="s">
        <v>4</v>
      </c>
      <c r="F33" s="94" t="s">
        <v>0</v>
      </c>
      <c r="G33" s="97" t="s">
        <v>28</v>
      </c>
      <c r="H33" s="96" t="s">
        <v>8</v>
      </c>
      <c r="I33" s="97" t="s">
        <v>59</v>
      </c>
      <c r="J33" s="96" t="s">
        <v>26</v>
      </c>
      <c r="K33" s="97" t="s">
        <v>10</v>
      </c>
      <c r="L33" s="34"/>
      <c r="M33" s="48" t="s">
        <v>0</v>
      </c>
      <c r="N33" s="1" t="s">
        <v>106</v>
      </c>
      <c r="O33" s="1" t="s">
        <v>107</v>
      </c>
      <c r="P33" s="1" t="s">
        <v>108</v>
      </c>
      <c r="Q33" s="48" t="s">
        <v>0</v>
      </c>
      <c r="R33" s="5" t="s">
        <v>26</v>
      </c>
      <c r="S33" s="5" t="s">
        <v>12</v>
      </c>
      <c r="T33" s="5" t="s">
        <v>12</v>
      </c>
      <c r="V33" s="97" t="s">
        <v>10</v>
      </c>
    </row>
    <row r="34" spans="3:22" x14ac:dyDescent="0.25">
      <c r="C34" s="88">
        <v>44492</v>
      </c>
      <c r="D34" s="94" t="s">
        <v>1</v>
      </c>
      <c r="E34" s="95" t="s">
        <v>4</v>
      </c>
      <c r="F34" s="96" t="s">
        <v>27</v>
      </c>
      <c r="G34" s="97" t="s">
        <v>6</v>
      </c>
      <c r="H34" s="96" t="s">
        <v>8</v>
      </c>
      <c r="I34" s="97" t="s">
        <v>59</v>
      </c>
      <c r="J34" s="96" t="s">
        <v>26</v>
      </c>
      <c r="K34" s="97" t="s">
        <v>10</v>
      </c>
      <c r="L34" s="32"/>
      <c r="M34" s="48" t="s">
        <v>27</v>
      </c>
      <c r="N34" s="1" t="s">
        <v>109</v>
      </c>
      <c r="O34" s="1" t="s">
        <v>103</v>
      </c>
      <c r="P34" s="1" t="s">
        <v>110</v>
      </c>
      <c r="Q34" s="48" t="s">
        <v>27</v>
      </c>
      <c r="R34" s="5" t="s">
        <v>1</v>
      </c>
      <c r="S34" s="5" t="s">
        <v>3</v>
      </c>
      <c r="T34" s="5" t="s">
        <v>3</v>
      </c>
      <c r="V34" s="97" t="s">
        <v>10</v>
      </c>
    </row>
    <row r="35" spans="3:22" x14ac:dyDescent="0.25">
      <c r="C35" s="88">
        <v>44493</v>
      </c>
      <c r="D35" s="94" t="s">
        <v>0</v>
      </c>
      <c r="E35" s="97" t="s">
        <v>28</v>
      </c>
      <c r="F35" s="96" t="s">
        <v>27</v>
      </c>
      <c r="G35" s="97" t="s">
        <v>6</v>
      </c>
      <c r="H35" s="96" t="s">
        <v>8</v>
      </c>
      <c r="I35" s="97" t="s">
        <v>59</v>
      </c>
      <c r="J35" s="96" t="s">
        <v>26</v>
      </c>
      <c r="K35" s="97" t="s">
        <v>10</v>
      </c>
      <c r="L35" s="32"/>
      <c r="M35" s="48" t="s">
        <v>8</v>
      </c>
      <c r="N35" s="1" t="s">
        <v>111</v>
      </c>
      <c r="O35" s="1" t="s">
        <v>112</v>
      </c>
      <c r="P35" s="1" t="s">
        <v>112</v>
      </c>
      <c r="Q35" s="48" t="s">
        <v>8</v>
      </c>
      <c r="R35" s="5" t="s">
        <v>0</v>
      </c>
      <c r="S35" s="5" t="s">
        <v>26</v>
      </c>
      <c r="T35" s="5" t="s">
        <v>1</v>
      </c>
      <c r="V35" s="97" t="s">
        <v>10</v>
      </c>
    </row>
    <row r="36" spans="3:22" x14ac:dyDescent="0.25">
      <c r="C36" s="88">
        <v>44494</v>
      </c>
      <c r="D36" s="94" t="s">
        <v>0</v>
      </c>
      <c r="E36" s="97" t="s">
        <v>28</v>
      </c>
      <c r="F36" s="96" t="s">
        <v>27</v>
      </c>
      <c r="G36" s="97" t="s">
        <v>6</v>
      </c>
      <c r="H36" s="96" t="s">
        <v>8</v>
      </c>
      <c r="I36" s="97" t="s">
        <v>59</v>
      </c>
      <c r="J36" s="96" t="s">
        <v>1</v>
      </c>
      <c r="K36" s="97" t="s">
        <v>4</v>
      </c>
      <c r="L36" s="32"/>
      <c r="M36" s="48" t="s">
        <v>12</v>
      </c>
      <c r="N36" s="1"/>
      <c r="O36" s="1"/>
      <c r="P36" s="1"/>
      <c r="Q36" s="48" t="s">
        <v>12</v>
      </c>
      <c r="R36" s="5" t="s">
        <v>3</v>
      </c>
      <c r="S36" s="5" t="s">
        <v>0</v>
      </c>
      <c r="T36" s="5" t="s">
        <v>26</v>
      </c>
      <c r="V36" s="97" t="s">
        <v>4</v>
      </c>
    </row>
    <row r="37" spans="3:22" x14ac:dyDescent="0.25">
      <c r="C37" s="88">
        <v>44495</v>
      </c>
      <c r="D37" s="94" t="s">
        <v>0</v>
      </c>
      <c r="E37" s="97" t="s">
        <v>28</v>
      </c>
      <c r="F37" s="96" t="s">
        <v>27</v>
      </c>
      <c r="G37" s="97" t="s">
        <v>6</v>
      </c>
      <c r="H37" s="96" t="s">
        <v>26</v>
      </c>
      <c r="I37" s="95" t="s">
        <v>10</v>
      </c>
      <c r="J37" s="96" t="s">
        <v>1</v>
      </c>
      <c r="K37" s="97" t="s">
        <v>4</v>
      </c>
      <c r="L37" s="32"/>
      <c r="M37" s="107" t="s">
        <v>3</v>
      </c>
      <c r="N37" s="101"/>
      <c r="O37" s="102"/>
      <c r="P37" s="102"/>
      <c r="Q37" s="48" t="s">
        <v>3</v>
      </c>
      <c r="R37" s="5" t="s">
        <v>27</v>
      </c>
      <c r="S37" s="5" t="s">
        <v>1</v>
      </c>
      <c r="T37" s="5" t="s">
        <v>0</v>
      </c>
      <c r="V37" s="97" t="s">
        <v>4</v>
      </c>
    </row>
    <row r="38" spans="3:22" x14ac:dyDescent="0.25">
      <c r="C38" s="88">
        <v>44496</v>
      </c>
      <c r="D38" s="94" t="s">
        <v>0</v>
      </c>
      <c r="E38" s="97" t="s">
        <v>28</v>
      </c>
      <c r="F38" s="96" t="s">
        <v>8</v>
      </c>
      <c r="G38" s="97" t="s">
        <v>59</v>
      </c>
      <c r="H38" s="96" t="s">
        <v>26</v>
      </c>
      <c r="I38" s="95" t="s">
        <v>10</v>
      </c>
      <c r="J38" s="96" t="s">
        <v>1</v>
      </c>
      <c r="K38" s="97" t="s">
        <v>4</v>
      </c>
      <c r="L38" s="32"/>
      <c r="M38" s="51" t="s">
        <v>10</v>
      </c>
      <c r="N38" s="190" t="s">
        <v>117</v>
      </c>
      <c r="O38" s="190"/>
      <c r="P38" s="190"/>
      <c r="Q38" s="1"/>
      <c r="R38" s="104"/>
      <c r="S38" s="104"/>
      <c r="T38" s="104"/>
      <c r="V38" s="97" t="s">
        <v>4</v>
      </c>
    </row>
    <row r="39" spans="3:22" x14ac:dyDescent="0.25">
      <c r="C39" s="88">
        <v>44497</v>
      </c>
      <c r="D39" s="94" t="s">
        <v>27</v>
      </c>
      <c r="E39" s="97" t="s">
        <v>6</v>
      </c>
      <c r="F39" s="96" t="s">
        <v>8</v>
      </c>
      <c r="G39" s="97" t="s">
        <v>59</v>
      </c>
      <c r="H39" s="96" t="s">
        <v>26</v>
      </c>
      <c r="I39" s="95" t="s">
        <v>10</v>
      </c>
      <c r="J39" s="96" t="s">
        <v>1</v>
      </c>
      <c r="K39" s="97" t="s">
        <v>4</v>
      </c>
      <c r="L39" s="32"/>
      <c r="M39" s="51" t="s">
        <v>4</v>
      </c>
      <c r="N39" s="190"/>
      <c r="O39" s="190"/>
      <c r="P39" s="190"/>
      <c r="Q39" s="1"/>
      <c r="V39" s="97" t="s">
        <v>4</v>
      </c>
    </row>
    <row r="40" spans="3:22" x14ac:dyDescent="0.25">
      <c r="C40" s="88">
        <v>44498</v>
      </c>
      <c r="D40" s="94" t="s">
        <v>27</v>
      </c>
      <c r="E40" s="97" t="s">
        <v>6</v>
      </c>
      <c r="F40" s="94" t="s">
        <v>8</v>
      </c>
      <c r="G40" s="97" t="s">
        <v>59</v>
      </c>
      <c r="H40" s="96" t="s">
        <v>26</v>
      </c>
      <c r="I40" s="95" t="s">
        <v>10</v>
      </c>
      <c r="J40" s="96" t="s">
        <v>0</v>
      </c>
      <c r="K40" s="97" t="s">
        <v>28</v>
      </c>
      <c r="L40" s="32"/>
      <c r="M40" s="51" t="s">
        <v>28</v>
      </c>
      <c r="N40" s="190"/>
      <c r="O40" s="190"/>
      <c r="P40" s="190"/>
      <c r="Q40" s="1"/>
      <c r="V40" s="97" t="s">
        <v>28</v>
      </c>
    </row>
    <row r="41" spans="3:22" x14ac:dyDescent="0.25">
      <c r="C41" s="88">
        <v>44499</v>
      </c>
      <c r="D41" s="94" t="s">
        <v>27</v>
      </c>
      <c r="E41" s="97" t="s">
        <v>6</v>
      </c>
      <c r="F41" s="94" t="s">
        <v>8</v>
      </c>
      <c r="G41" s="97" t="s">
        <v>59</v>
      </c>
      <c r="H41" s="96" t="s">
        <v>1</v>
      </c>
      <c r="I41" s="95" t="s">
        <v>4</v>
      </c>
      <c r="J41" s="96" t="s">
        <v>0</v>
      </c>
      <c r="K41" s="97" t="s">
        <v>28</v>
      </c>
      <c r="L41" s="32"/>
      <c r="M41" s="55" t="s">
        <v>6</v>
      </c>
      <c r="N41" s="190"/>
      <c r="O41" s="190"/>
      <c r="P41" s="190"/>
      <c r="Q41" s="1"/>
      <c r="V41" s="97" t="s">
        <v>28</v>
      </c>
    </row>
    <row r="42" spans="3:22" x14ac:dyDescent="0.25">
      <c r="C42" s="88">
        <v>44500</v>
      </c>
      <c r="D42" s="94" t="s">
        <v>27</v>
      </c>
      <c r="E42" s="97" t="s">
        <v>6</v>
      </c>
      <c r="F42" s="94" t="s">
        <v>26</v>
      </c>
      <c r="G42" s="97" t="s">
        <v>10</v>
      </c>
      <c r="H42" s="96" t="s">
        <v>1</v>
      </c>
      <c r="I42" s="95" t="s">
        <v>4</v>
      </c>
      <c r="J42" s="96" t="s">
        <v>0</v>
      </c>
      <c r="K42" s="97" t="s">
        <v>28</v>
      </c>
      <c r="L42" s="32"/>
      <c r="M42" s="55" t="s">
        <v>59</v>
      </c>
      <c r="N42" s="190"/>
      <c r="O42" s="190"/>
      <c r="P42" s="190"/>
      <c r="Q42" s="1"/>
      <c r="V42" s="97" t="s">
        <v>28</v>
      </c>
    </row>
    <row r="43" spans="3:22" x14ac:dyDescent="0.25">
      <c r="C43" s="36"/>
      <c r="D43"/>
      <c r="E43"/>
      <c r="F43"/>
      <c r="G43"/>
      <c r="H43"/>
      <c r="I43"/>
      <c r="J43"/>
      <c r="K43"/>
      <c r="M43" s="51" t="s">
        <v>95</v>
      </c>
      <c r="N43" s="190"/>
      <c r="O43" s="190"/>
      <c r="P43" s="190"/>
      <c r="Q43" s="1"/>
      <c r="V43" s="97" t="s">
        <v>28</v>
      </c>
    </row>
    <row r="44" spans="3:22" x14ac:dyDescent="0.25">
      <c r="D44"/>
      <c r="E44"/>
      <c r="F44"/>
      <c r="G44"/>
      <c r="H44"/>
      <c r="I44"/>
      <c r="J44"/>
      <c r="K44"/>
      <c r="M44" s="51" t="s">
        <v>99</v>
      </c>
      <c r="N44" s="190"/>
      <c r="O44" s="190"/>
      <c r="P44" s="190"/>
      <c r="V44" s="97" t="s">
        <v>6</v>
      </c>
    </row>
    <row r="45" spans="3:22" x14ac:dyDescent="0.25">
      <c r="D45"/>
      <c r="E45"/>
      <c r="F45"/>
      <c r="G45"/>
      <c r="H45"/>
      <c r="I45"/>
      <c r="J45"/>
      <c r="K45"/>
      <c r="V45" s="97" t="s">
        <v>6</v>
      </c>
    </row>
    <row r="46" spans="3:22" x14ac:dyDescent="0.25">
      <c r="D46"/>
      <c r="E46"/>
      <c r="F46"/>
      <c r="G46"/>
      <c r="H46"/>
      <c r="I46"/>
      <c r="J46"/>
      <c r="K46"/>
      <c r="V46" s="97" t="s">
        <v>6</v>
      </c>
    </row>
    <row r="47" spans="3:22" x14ac:dyDescent="0.25">
      <c r="D47"/>
      <c r="E47"/>
      <c r="F47"/>
      <c r="G47"/>
      <c r="H47"/>
      <c r="I47"/>
      <c r="J47"/>
      <c r="K47"/>
      <c r="M47" s="189" t="s">
        <v>118</v>
      </c>
      <c r="N47" s="189"/>
      <c r="O47" s="189"/>
      <c r="P47" s="189"/>
      <c r="Q47" s="189"/>
      <c r="R47" s="189"/>
      <c r="S47" s="189"/>
      <c r="T47" s="189"/>
      <c r="V47" s="97" t="s">
        <v>6</v>
      </c>
    </row>
    <row r="48" spans="3:22" x14ac:dyDescent="0.25">
      <c r="M48" s="189"/>
      <c r="N48" s="189"/>
      <c r="O48" s="189"/>
      <c r="P48" s="189"/>
      <c r="Q48" s="189"/>
      <c r="R48" s="189"/>
      <c r="S48" s="189"/>
      <c r="T48" s="189"/>
      <c r="V48" s="97" t="s">
        <v>59</v>
      </c>
    </row>
    <row r="49" spans="13:22" x14ac:dyDescent="0.25">
      <c r="M49" s="103"/>
      <c r="N49" s="104">
        <v>31</v>
      </c>
      <c r="O49" s="104">
        <v>30</v>
      </c>
      <c r="P49" s="104">
        <v>28</v>
      </c>
      <c r="Q49" s="1"/>
      <c r="R49" s="105">
        <v>31</v>
      </c>
      <c r="S49" s="105">
        <v>30</v>
      </c>
      <c r="T49" s="105">
        <v>28</v>
      </c>
      <c r="V49" s="97" t="s">
        <v>59</v>
      </c>
    </row>
    <row r="50" spans="13:22" ht="15.75" x14ac:dyDescent="0.25">
      <c r="M50" s="106" t="s">
        <v>26</v>
      </c>
      <c r="N50" s="1" t="s">
        <v>119</v>
      </c>
      <c r="O50" s="1" t="s">
        <v>77</v>
      </c>
      <c r="P50" s="1" t="s">
        <v>76</v>
      </c>
      <c r="Q50" s="47" t="s">
        <v>26</v>
      </c>
      <c r="R50" s="5" t="s">
        <v>0</v>
      </c>
      <c r="S50" s="5" t="s">
        <v>8</v>
      </c>
      <c r="T50" s="5" t="s">
        <v>8</v>
      </c>
      <c r="V50" s="97" t="s">
        <v>59</v>
      </c>
    </row>
    <row r="51" spans="13:22" x14ac:dyDescent="0.25">
      <c r="M51" s="48" t="s">
        <v>1</v>
      </c>
      <c r="N51" s="1" t="s">
        <v>80</v>
      </c>
      <c r="O51" s="1" t="s">
        <v>80</v>
      </c>
      <c r="P51" s="1" t="s">
        <v>78</v>
      </c>
      <c r="Q51" s="48" t="s">
        <v>1</v>
      </c>
      <c r="R51" s="5" t="s">
        <v>27</v>
      </c>
      <c r="S51" s="5" t="s">
        <v>27</v>
      </c>
      <c r="T51" s="5" t="s">
        <v>12</v>
      </c>
      <c r="V51" s="97" t="s">
        <v>59</v>
      </c>
    </row>
    <row r="52" spans="13:22" x14ac:dyDescent="0.25">
      <c r="M52" s="48" t="s">
        <v>0</v>
      </c>
      <c r="N52" s="1" t="s">
        <v>120</v>
      </c>
      <c r="O52" s="1" t="s">
        <v>121</v>
      </c>
      <c r="P52" s="1" t="s">
        <v>81</v>
      </c>
      <c r="Q52" s="48" t="s">
        <v>0</v>
      </c>
      <c r="R52" s="5" t="s">
        <v>12</v>
      </c>
      <c r="S52" s="5" t="s">
        <v>26</v>
      </c>
      <c r="T52" s="5" t="s">
        <v>27</v>
      </c>
      <c r="V52" s="97" t="s">
        <v>10</v>
      </c>
    </row>
    <row r="53" spans="13:22" x14ac:dyDescent="0.25">
      <c r="M53" s="48" t="s">
        <v>27</v>
      </c>
      <c r="N53" s="1" t="s">
        <v>122</v>
      </c>
      <c r="O53" s="1" t="s">
        <v>119</v>
      </c>
      <c r="P53" s="1" t="s">
        <v>123</v>
      </c>
      <c r="Q53" s="48" t="s">
        <v>27</v>
      </c>
      <c r="R53" s="5" t="s">
        <v>26</v>
      </c>
      <c r="S53" s="5" t="s">
        <v>12</v>
      </c>
      <c r="T53" s="5" t="s">
        <v>0</v>
      </c>
      <c r="V53" s="97" t="s">
        <v>10</v>
      </c>
    </row>
    <row r="54" spans="13:22" x14ac:dyDescent="0.25">
      <c r="M54" s="48" t="s">
        <v>8</v>
      </c>
      <c r="N54" s="1" t="s">
        <v>87</v>
      </c>
      <c r="O54" s="1" t="s">
        <v>87</v>
      </c>
      <c r="P54" s="1" t="s">
        <v>87</v>
      </c>
      <c r="Q54" s="48" t="s">
        <v>8</v>
      </c>
      <c r="R54" s="5" t="s">
        <v>1</v>
      </c>
      <c r="S54" s="5" t="s">
        <v>1</v>
      </c>
      <c r="T54" s="5" t="s">
        <v>1</v>
      </c>
      <c r="V54" s="97" t="s">
        <v>10</v>
      </c>
    </row>
    <row r="55" spans="13:22" x14ac:dyDescent="0.25">
      <c r="M55" s="48" t="s">
        <v>12</v>
      </c>
      <c r="N55" s="1" t="s">
        <v>89</v>
      </c>
      <c r="O55" s="1" t="s">
        <v>116</v>
      </c>
      <c r="P55" s="1" t="s">
        <v>124</v>
      </c>
      <c r="Q55" s="48" t="s">
        <v>12</v>
      </c>
      <c r="R55" s="5" t="s">
        <v>8</v>
      </c>
      <c r="S55" s="5" t="s">
        <v>0</v>
      </c>
      <c r="T55" s="5" t="s">
        <v>26</v>
      </c>
      <c r="V55" s="97" t="s">
        <v>10</v>
      </c>
    </row>
    <row r="56" spans="13:22" x14ac:dyDescent="0.25">
      <c r="M56" s="51" t="s">
        <v>10</v>
      </c>
      <c r="N56" s="190" t="s">
        <v>117</v>
      </c>
      <c r="O56" s="190"/>
      <c r="P56" s="190"/>
      <c r="Q56" s="1"/>
      <c r="R56" s="104"/>
      <c r="S56" s="104"/>
      <c r="T56" s="104"/>
      <c r="V56" s="97" t="s">
        <v>4</v>
      </c>
    </row>
    <row r="57" spans="13:22" x14ac:dyDescent="0.25">
      <c r="M57" s="51" t="s">
        <v>4</v>
      </c>
      <c r="N57" s="190"/>
      <c r="O57" s="190"/>
      <c r="P57" s="190"/>
      <c r="Q57" s="1"/>
      <c r="V57" s="97" t="s">
        <v>4</v>
      </c>
    </row>
    <row r="58" spans="13:22" x14ac:dyDescent="0.25">
      <c r="M58" s="51" t="s">
        <v>28</v>
      </c>
      <c r="N58" s="190"/>
      <c r="O58" s="190"/>
      <c r="P58" s="190"/>
      <c r="Q58" s="1"/>
      <c r="V58" s="97" t="s">
        <v>4</v>
      </c>
    </row>
    <row r="59" spans="13:22" x14ac:dyDescent="0.25">
      <c r="M59" s="55" t="s">
        <v>6</v>
      </c>
      <c r="N59" s="190"/>
      <c r="O59" s="190"/>
      <c r="P59" s="190"/>
      <c r="Q59" s="1"/>
      <c r="V59" s="97" t="s">
        <v>4</v>
      </c>
    </row>
    <row r="60" spans="13:22" x14ac:dyDescent="0.25">
      <c r="M60" s="55" t="s">
        <v>59</v>
      </c>
      <c r="N60" s="190"/>
      <c r="O60" s="190"/>
      <c r="P60" s="190"/>
      <c r="Q60" s="1"/>
      <c r="V60" s="97" t="s">
        <v>28</v>
      </c>
    </row>
    <row r="61" spans="13:22" x14ac:dyDescent="0.25">
      <c r="M61" s="51" t="s">
        <v>95</v>
      </c>
      <c r="N61" s="190"/>
      <c r="O61" s="190"/>
      <c r="P61" s="190"/>
      <c r="Q61" s="1"/>
      <c r="V61" s="97" t="s">
        <v>28</v>
      </c>
    </row>
    <row r="62" spans="13:22" x14ac:dyDescent="0.25">
      <c r="M62" s="51" t="s">
        <v>99</v>
      </c>
      <c r="N62" s="190"/>
      <c r="O62" s="190"/>
      <c r="P62" s="190"/>
      <c r="V62" s="97" t="s">
        <v>28</v>
      </c>
    </row>
    <row r="63" spans="13:22" x14ac:dyDescent="0.25">
      <c r="V63" s="97" t="s">
        <v>28</v>
      </c>
    </row>
    <row r="64" spans="13:22" x14ac:dyDescent="0.25">
      <c r="V64" s="97" t="s">
        <v>6</v>
      </c>
    </row>
    <row r="65" spans="22:22" x14ac:dyDescent="0.25">
      <c r="V65" s="97" t="s">
        <v>6</v>
      </c>
    </row>
    <row r="66" spans="22:22" x14ac:dyDescent="0.25">
      <c r="V66" s="97" t="s">
        <v>6</v>
      </c>
    </row>
    <row r="67" spans="22:22" x14ac:dyDescent="0.25">
      <c r="V67" s="97" t="s">
        <v>6</v>
      </c>
    </row>
    <row r="68" spans="22:22" x14ac:dyDescent="0.25">
      <c r="V68" s="97" t="s">
        <v>59</v>
      </c>
    </row>
    <row r="69" spans="22:22" x14ac:dyDescent="0.25">
      <c r="V69" s="97" t="s">
        <v>59</v>
      </c>
    </row>
    <row r="70" spans="22:22" x14ac:dyDescent="0.25">
      <c r="V70" s="97" t="s">
        <v>59</v>
      </c>
    </row>
    <row r="71" spans="22:22" x14ac:dyDescent="0.25">
      <c r="V71" s="97" t="s">
        <v>59</v>
      </c>
    </row>
    <row r="72" spans="22:22" x14ac:dyDescent="0.25">
      <c r="V72" s="97" t="s">
        <v>10</v>
      </c>
    </row>
    <row r="73" spans="22:22" x14ac:dyDescent="0.25">
      <c r="V73" s="97" t="s">
        <v>10</v>
      </c>
    </row>
    <row r="74" spans="22:22" x14ac:dyDescent="0.25">
      <c r="V74" s="97" t="s">
        <v>10</v>
      </c>
    </row>
    <row r="75" spans="22:22" x14ac:dyDescent="0.25">
      <c r="V75" s="97" t="s">
        <v>10</v>
      </c>
    </row>
    <row r="76" spans="22:22" x14ac:dyDescent="0.25">
      <c r="V76" s="97" t="s">
        <v>4</v>
      </c>
    </row>
    <row r="77" spans="22:22" x14ac:dyDescent="0.25">
      <c r="V77" s="97" t="s">
        <v>4</v>
      </c>
    </row>
    <row r="78" spans="22:22" x14ac:dyDescent="0.25">
      <c r="V78" s="97" t="s">
        <v>4</v>
      </c>
    </row>
    <row r="79" spans="22:22" x14ac:dyDescent="0.25">
      <c r="V79" s="97" t="s">
        <v>4</v>
      </c>
    </row>
    <row r="80" spans="22:22" x14ac:dyDescent="0.25">
      <c r="V80" s="97" t="s">
        <v>28</v>
      </c>
    </row>
    <row r="81" spans="22:22" x14ac:dyDescent="0.25">
      <c r="V81" s="97" t="s">
        <v>28</v>
      </c>
    </row>
    <row r="82" spans="22:22" x14ac:dyDescent="0.25">
      <c r="V82" s="97" t="s">
        <v>28</v>
      </c>
    </row>
    <row r="83" spans="22:22" x14ac:dyDescent="0.25">
      <c r="V83" s="97" t="s">
        <v>28</v>
      </c>
    </row>
  </sheetData>
  <autoFilter ref="B11:T42" xr:uid="{00000000-0009-0000-0000-000008000000}">
    <filterColumn colId="0" showButton="0"/>
  </autoFilter>
  <mergeCells count="4">
    <mergeCell ref="M28:T29"/>
    <mergeCell ref="N38:P44"/>
    <mergeCell ref="M47:T48"/>
    <mergeCell ref="N56:P62"/>
  </mergeCells>
  <pageMargins left="0.25" right="0.25" top="0.75" bottom="0.75" header="0.3" footer="0.3"/>
  <pageSetup paperSize="9" scale="53" orientation="landscape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97EDD-B6FE-43D2-969A-EAA457B20B6D}">
  <sheetPr codeName="Planilha133">
    <pageSetUpPr fitToPage="1"/>
  </sheetPr>
  <dimension ref="E2:AE57"/>
  <sheetViews>
    <sheetView showGridLines="0" topLeftCell="I22" zoomScale="85" zoomScaleNormal="85" workbookViewId="0">
      <selection activeCell="S51" sqref="S51"/>
    </sheetView>
  </sheetViews>
  <sheetFormatPr defaultRowHeight="15" x14ac:dyDescent="0.25"/>
  <cols>
    <col min="7" max="7" width="10.7109375" bestFit="1" customWidth="1"/>
    <col min="10" max="10" width="11.42578125" customWidth="1"/>
    <col min="11" max="11" width="2" hidden="1" customWidth="1"/>
    <col min="12" max="12" width="11.140625" customWidth="1"/>
    <col min="13" max="16" width="17.42578125" customWidth="1"/>
    <col min="17" max="18" width="13.28515625" style="7" customWidth="1"/>
    <col min="19" max="22" width="17.42578125" style="7" customWidth="1"/>
    <col min="23" max="23" width="2.42578125" customWidth="1"/>
    <col min="24" max="24" width="4.85546875" customWidth="1"/>
    <col min="25" max="25" width="13.85546875" customWidth="1"/>
    <col min="26" max="30" width="6.140625" customWidth="1"/>
    <col min="31" max="31" width="6.5703125" customWidth="1"/>
    <col min="32" max="32" width="9.140625" customWidth="1"/>
  </cols>
  <sheetData>
    <row r="2" spans="5:31" ht="15.75" thickBot="1" x14ac:dyDescent="0.3">
      <c r="E2" s="154"/>
    </row>
    <row r="3" spans="5:31" ht="26.25" customHeight="1" thickBot="1" x14ac:dyDescent="0.3">
      <c r="J3" s="8"/>
      <c r="K3" s="9"/>
      <c r="L3" s="9"/>
      <c r="M3" s="194" t="s">
        <v>32</v>
      </c>
      <c r="N3" s="194"/>
      <c r="O3" s="194"/>
      <c r="P3" s="194"/>
      <c r="Q3" s="194"/>
      <c r="R3" s="194"/>
      <c r="S3" s="194"/>
      <c r="T3" s="194"/>
      <c r="U3" s="194"/>
      <c r="V3" s="195"/>
      <c r="X3" s="198" t="s">
        <v>125</v>
      </c>
      <c r="Y3" s="199"/>
    </row>
    <row r="4" spans="5:31" ht="15" customHeight="1" thickBot="1" x14ac:dyDescent="0.3">
      <c r="J4" s="10"/>
      <c r="M4" s="196"/>
      <c r="N4" s="196"/>
      <c r="O4" s="196"/>
      <c r="P4" s="196"/>
      <c r="Q4" s="196"/>
      <c r="R4" s="196"/>
      <c r="S4" s="196"/>
      <c r="T4" s="196"/>
      <c r="U4" s="196"/>
      <c r="V4" s="197"/>
      <c r="X4" s="200" t="s">
        <v>126</v>
      </c>
      <c r="Y4" s="201"/>
    </row>
    <row r="5" spans="5:31" ht="15" customHeight="1" thickBot="1" x14ac:dyDescent="0.3">
      <c r="J5" s="10"/>
      <c r="M5" s="202" t="s">
        <v>34</v>
      </c>
      <c r="N5" s="202"/>
      <c r="O5" s="202"/>
      <c r="P5" s="202"/>
      <c r="Q5" s="202"/>
      <c r="R5" s="202"/>
      <c r="S5" s="202"/>
      <c r="T5" s="202"/>
      <c r="U5" s="202"/>
      <c r="V5" s="203"/>
      <c r="X5" s="204" t="s">
        <v>14</v>
      </c>
      <c r="Y5" s="205"/>
    </row>
    <row r="6" spans="5:31" ht="15" customHeight="1" thickBot="1" x14ac:dyDescent="0.3">
      <c r="J6" s="10"/>
      <c r="M6" s="202"/>
      <c r="N6" s="202"/>
      <c r="O6" s="202"/>
      <c r="P6" s="202"/>
      <c r="Q6" s="202"/>
      <c r="R6" s="202"/>
      <c r="S6" s="202"/>
      <c r="T6" s="202"/>
      <c r="U6" s="202"/>
      <c r="V6" s="203"/>
      <c r="X6" s="206" t="s">
        <v>127</v>
      </c>
      <c r="Y6" s="207"/>
    </row>
    <row r="7" spans="5:31" ht="15" customHeight="1" thickBot="1" x14ac:dyDescent="0.3">
      <c r="J7" s="10"/>
      <c r="S7" s="172"/>
      <c r="T7" s="172"/>
      <c r="U7" s="172"/>
      <c r="V7" s="11"/>
      <c r="X7" s="208" t="s">
        <v>128</v>
      </c>
      <c r="Y7" s="209"/>
      <c r="AE7" s="98" t="s">
        <v>97</v>
      </c>
    </row>
    <row r="8" spans="5:31" ht="33.75" x14ac:dyDescent="0.25">
      <c r="J8" s="12"/>
      <c r="K8" s="13"/>
      <c r="L8" s="13"/>
      <c r="M8" s="210" t="s">
        <v>134</v>
      </c>
      <c r="N8" s="210"/>
      <c r="O8" s="210"/>
      <c r="P8" s="210"/>
      <c r="Q8" s="210"/>
      <c r="R8" s="210"/>
      <c r="S8" s="210"/>
      <c r="T8" s="210"/>
      <c r="U8" s="210"/>
      <c r="V8" s="211"/>
      <c r="AE8" s="99">
        <v>28</v>
      </c>
    </row>
    <row r="9" spans="5:31" ht="15" customHeight="1" thickBot="1" x14ac:dyDescent="0.3">
      <c r="J9" s="14"/>
      <c r="K9" s="15"/>
      <c r="L9" s="15"/>
      <c r="M9" s="15"/>
      <c r="N9" s="15"/>
      <c r="O9" s="15"/>
      <c r="P9" s="15"/>
      <c r="Q9" s="89"/>
      <c r="R9" s="89"/>
      <c r="S9" s="15"/>
      <c r="T9" s="15"/>
      <c r="U9" s="15"/>
      <c r="V9" s="16"/>
    </row>
    <row r="10" spans="5:31" ht="22.5" customHeight="1" thickBot="1" x14ac:dyDescent="0.3">
      <c r="J10" s="212" t="s">
        <v>33</v>
      </c>
      <c r="K10" s="213"/>
      <c r="L10" s="214"/>
      <c r="M10" s="173" t="s">
        <v>35</v>
      </c>
      <c r="N10" s="173" t="s">
        <v>35</v>
      </c>
      <c r="O10" s="173" t="s">
        <v>36</v>
      </c>
      <c r="P10" s="173" t="s">
        <v>36</v>
      </c>
      <c r="Q10" s="173" t="s">
        <v>61</v>
      </c>
      <c r="R10" s="173" t="s">
        <v>61</v>
      </c>
      <c r="S10" s="20" t="s">
        <v>37</v>
      </c>
      <c r="T10" s="21" t="s">
        <v>37</v>
      </c>
      <c r="U10" s="21" t="s">
        <v>38</v>
      </c>
      <c r="V10" s="11" t="s">
        <v>38</v>
      </c>
      <c r="X10" s="215" t="s">
        <v>43</v>
      </c>
      <c r="Y10" s="216"/>
      <c r="Z10" s="19" t="s">
        <v>15</v>
      </c>
      <c r="AA10" s="19" t="s">
        <v>16</v>
      </c>
      <c r="AB10" s="19" t="s">
        <v>17</v>
      </c>
      <c r="AC10" s="19" t="s">
        <v>18</v>
      </c>
      <c r="AD10" s="19" t="s">
        <v>42</v>
      </c>
      <c r="AE10" s="19" t="s">
        <v>14</v>
      </c>
    </row>
    <row r="11" spans="5:31" ht="22.5" customHeight="1" x14ac:dyDescent="0.25">
      <c r="J11" s="153">
        <v>46054</v>
      </c>
      <c r="K11" s="22">
        <f t="shared" ref="K11:K41" si="0">WEEKDAY(J11,2)</f>
        <v>7</v>
      </c>
      <c r="L11" s="22" t="str">
        <f t="shared" ref="L11:L41" si="1">IF(K11=7,"DOMINGO",IF(K11=6,"SABADO",IF(K11=5,"SEXTA",IF(K11=4,"QUINTA",IF(K11=3,"QUARTA",IF(K11=2,"TERÇA",IF(K11=1,"SEGUNDA",)))))))</f>
        <v>DOMINGO</v>
      </c>
      <c r="M11" s="22" t="str">
        <f>IFERROR(VLOOKUP(J11,'torre fevereiro'!$A$25:$V$61,4),"-")</f>
        <v>B.MACHADO</v>
      </c>
      <c r="N11" s="22" t="str">
        <f>IFERROR(VLOOKUP(J11,'torre fevereiro'!$A$25:$V$61,6),"-")</f>
        <v>BRANCÃO</v>
      </c>
      <c r="O11" s="22" t="str">
        <f>IFERROR(VLOOKUP(J11,'torre fevereiro'!$A$25:$V$61,8),"-")</f>
        <v>RODRIGO</v>
      </c>
      <c r="P11" s="22" t="str">
        <f>IFERROR(VLOOKUP(J11,'torre fevereiro'!$A$25:$V$61,10),"-")</f>
        <v>THAIS</v>
      </c>
      <c r="Q11" s="22" t="str">
        <f>IFERROR(VLOOKUP(J11,'torre fevereiro'!$A$25:$V$62,12),"-")</f>
        <v>-</v>
      </c>
      <c r="R11" s="22" t="str">
        <f>IFERROR(VLOOKUP(J11,'torre fevereiro'!$A$25:$V$62,14),"-")</f>
        <v>-</v>
      </c>
      <c r="S11" s="22" t="str">
        <f>IFERROR(VLOOKUP(J11,'torre fevereiro'!$A$25:$V$61,16),"-")</f>
        <v>B.HORNES</v>
      </c>
      <c r="T11" s="22" t="str">
        <f>IFERROR(VLOOKUP(J11,'torre fevereiro'!$A$25:$V$61,18),"-")</f>
        <v>FELIPE</v>
      </c>
      <c r="U11" s="22" t="str">
        <f>IFERROR(VLOOKUP(J11,'torre fevereiro'!$A$25:$V$61,20),"-")</f>
        <v>ALLAN</v>
      </c>
      <c r="V11" s="23" t="str">
        <f>IFERROR(VLOOKUP(J11,'torre fevereiro'!$A$25:$V$61,22),"-")</f>
        <v>VITORIA</v>
      </c>
      <c r="X11" s="49" t="s">
        <v>26</v>
      </c>
      <c r="Y11" s="25" t="str">
        <f>'torre fevereiro'!G3</f>
        <v>ALLAN</v>
      </c>
      <c r="Z11" s="19">
        <f t="shared" ref="Z11:Z24" si="2">COUNTIF($M$11:$N$42,Y11)</f>
        <v>4</v>
      </c>
      <c r="AA11" s="19">
        <f t="shared" ref="AA11:AA24" si="3">COUNTIF($O$11:$P$42,Y11)</f>
        <v>4</v>
      </c>
      <c r="AB11" s="19">
        <f t="shared" ref="AB11:AB24" si="4">COUNTIF($S$11:$T$42,Y11)</f>
        <v>4</v>
      </c>
      <c r="AC11" s="19">
        <f t="shared" ref="AC11:AC24" si="5">COUNTIF($U$11:$V$42,Y11)</f>
        <v>7</v>
      </c>
      <c r="AD11" s="19">
        <f>SUM(Z11:AC11)</f>
        <v>19</v>
      </c>
      <c r="AE11" s="19">
        <f>$AE$8-AD11</f>
        <v>9</v>
      </c>
    </row>
    <row r="12" spans="5:31" ht="22.5" customHeight="1" x14ac:dyDescent="0.25">
      <c r="J12" s="175">
        <v>46055</v>
      </c>
      <c r="K12" s="18">
        <f t="shared" si="0"/>
        <v>1</v>
      </c>
      <c r="L12" s="18" t="str">
        <f t="shared" si="1"/>
        <v>SEGUNDA</v>
      </c>
      <c r="M12" s="18" t="str">
        <f>IFERROR(VLOOKUP(J12,'torre fevereiro'!$A$25:$V$61,4),"-")</f>
        <v>B.MACHADO</v>
      </c>
      <c r="N12" s="18" t="str">
        <f>IFERROR(VLOOKUP(J12,'torre fevereiro'!$A$25:$V$61,6),"-")</f>
        <v>BRANCÃO</v>
      </c>
      <c r="O12" s="18" t="str">
        <f>IFERROR(VLOOKUP(J12,'torre fevereiro'!$A$25:$V$61,8),"-")</f>
        <v>MARCO</v>
      </c>
      <c r="P12" s="18" t="str">
        <f>IFERROR(VLOOKUP(J12,'torre fevereiro'!$A$25:$V$61,10),"-")</f>
        <v>THAIS</v>
      </c>
      <c r="Q12" s="18" t="str">
        <f>IFERROR(VLOOKUP(J12,'torre fevereiro'!$A$25:$V$62,12),"-")</f>
        <v>-</v>
      </c>
      <c r="R12" s="18" t="str">
        <f>IFERROR(VLOOKUP(J12,'torre fevereiro'!$A$25:$V$62,14),"-")</f>
        <v>-</v>
      </c>
      <c r="S12" s="18" t="str">
        <f>IFERROR(VLOOKUP(J12,'torre fevereiro'!$A$25:$V$61,16),"-")</f>
        <v>B.HORNES</v>
      </c>
      <c r="T12" s="18" t="str">
        <f>IFERROR(VLOOKUP(J12,'torre fevereiro'!$A$25:$V$61,18),"-")</f>
        <v>GUILHERME</v>
      </c>
      <c r="U12" s="18" t="str">
        <f>IFERROR(VLOOKUP(J12,'torre fevereiro'!$A$25:$V$61,20),"-")</f>
        <v>ALLAN</v>
      </c>
      <c r="V12" s="24" t="str">
        <f>IFERROR(VLOOKUP(J12,'torre fevereiro'!$A$25:$V$61,22),"-")</f>
        <v>VITORIA</v>
      </c>
      <c r="X12" s="49" t="s">
        <v>1</v>
      </c>
      <c r="Y12" s="25" t="str">
        <f>'torre fevereiro'!G4</f>
        <v>B.MACHADO</v>
      </c>
      <c r="Z12" s="19">
        <f t="shared" si="2"/>
        <v>6</v>
      </c>
      <c r="AA12" s="19">
        <f t="shared" si="3"/>
        <v>4</v>
      </c>
      <c r="AB12" s="19">
        <f t="shared" si="4"/>
        <v>4</v>
      </c>
      <c r="AC12" s="19">
        <f t="shared" si="5"/>
        <v>5</v>
      </c>
      <c r="AD12" s="19">
        <f t="shared" ref="AD12:AD26" si="6">SUM(Z12:AC12)</f>
        <v>19</v>
      </c>
      <c r="AE12" s="19">
        <f t="shared" ref="AE12:AE26" si="7">$AE$8-AD12</f>
        <v>9</v>
      </c>
    </row>
    <row r="13" spans="5:31" ht="22.5" customHeight="1" x14ac:dyDescent="0.25">
      <c r="J13" s="26">
        <v>46056</v>
      </c>
      <c r="K13" s="18">
        <f t="shared" si="0"/>
        <v>2</v>
      </c>
      <c r="L13" s="18" t="str">
        <f t="shared" si="1"/>
        <v>TERÇA</v>
      </c>
      <c r="M13" s="18" t="str">
        <f>IFERROR(VLOOKUP(J13,'torre fevereiro'!$A$25:$V$61,4),"-")</f>
        <v>EDUARDO</v>
      </c>
      <c r="N13" s="18" t="str">
        <f>IFERROR(VLOOKUP(J13,'torre fevereiro'!$A$25:$V$61,6),"-")</f>
        <v>BRANCÃO</v>
      </c>
      <c r="O13" s="18" t="str">
        <f>IFERROR(VLOOKUP(J13,'torre fevereiro'!$A$25:$V$61,8),"-")</f>
        <v>MARCO</v>
      </c>
      <c r="P13" s="18" t="str">
        <f>IFERROR(VLOOKUP(J13,'torre fevereiro'!$A$25:$V$61,10),"-")</f>
        <v>FELIPE</v>
      </c>
      <c r="Q13" s="18" t="str">
        <f>IFERROR(VLOOKUP(J13,'torre fevereiro'!$A$25:$V$62,12),"-")</f>
        <v>CLEITON</v>
      </c>
      <c r="R13" s="18" t="str">
        <f>IFERROR(VLOOKUP(J13,'torre fevereiro'!$A$25:$V$62,14),"-")</f>
        <v>TONINHO</v>
      </c>
      <c r="S13" s="18" t="str">
        <f>IFERROR(VLOOKUP(J13,'torre fevereiro'!$A$25:$V$61,16),"-")</f>
        <v>RODRIGO</v>
      </c>
      <c r="T13" s="18" t="str">
        <f>IFERROR(VLOOKUP(J13,'torre fevereiro'!$A$25:$V$61,18),"-")</f>
        <v>GUILHERME</v>
      </c>
      <c r="U13" s="18" t="str">
        <f>IFERROR(VLOOKUP(J13,'torre fevereiro'!$A$25:$V$61,20),"-")</f>
        <v>ALLAN</v>
      </c>
      <c r="V13" s="24" t="str">
        <f>IFERROR(VLOOKUP(J13,'torre fevereiro'!$A$25:$V$61,22),"-")</f>
        <v>VITORIA</v>
      </c>
      <c r="X13" s="49" t="s">
        <v>0</v>
      </c>
      <c r="Y13" s="25" t="str">
        <f>'torre fevereiro'!G5</f>
        <v>EDUARDO</v>
      </c>
      <c r="Z13" s="19">
        <f t="shared" si="2"/>
        <v>6</v>
      </c>
      <c r="AA13" s="19">
        <f t="shared" si="3"/>
        <v>4</v>
      </c>
      <c r="AB13" s="19">
        <f t="shared" si="4"/>
        <v>4</v>
      </c>
      <c r="AC13" s="19">
        <f t="shared" si="5"/>
        <v>4</v>
      </c>
      <c r="AD13" s="19">
        <f t="shared" si="6"/>
        <v>18</v>
      </c>
      <c r="AE13" s="19">
        <f t="shared" si="7"/>
        <v>10</v>
      </c>
    </row>
    <row r="14" spans="5:31" ht="22.5" customHeight="1" x14ac:dyDescent="0.25">
      <c r="J14" s="175">
        <v>46057</v>
      </c>
      <c r="K14" s="18">
        <f t="shared" si="0"/>
        <v>3</v>
      </c>
      <c r="L14" s="18" t="str">
        <f t="shared" si="1"/>
        <v>QUARTA</v>
      </c>
      <c r="M14" s="18" t="str">
        <f>IFERROR(VLOOKUP(J14,'torre fevereiro'!$A$25:$V$61,4),"-")</f>
        <v>EDUARDO</v>
      </c>
      <c r="N14" s="18" t="str">
        <f>IFERROR(VLOOKUP(J14,'torre fevereiro'!$A$25:$V$61,6),"-")</f>
        <v>THAIS</v>
      </c>
      <c r="O14" s="18" t="str">
        <f>IFERROR(VLOOKUP(J14,'torre fevereiro'!$A$25:$V$61,8),"-")</f>
        <v>MARCO</v>
      </c>
      <c r="P14" s="18" t="str">
        <f>IFERROR(VLOOKUP(J14,'torre fevereiro'!$A$25:$V$61,10),"-")</f>
        <v>FELIPE</v>
      </c>
      <c r="Q14" s="18" t="str">
        <f>IFERROR(VLOOKUP(J14,'torre fevereiro'!$A$25:$V$62,12),"-")</f>
        <v>CLEITON</v>
      </c>
      <c r="R14" s="18" t="str">
        <f>IFERROR(VLOOKUP(J14,'torre fevereiro'!$A$25:$V$62,14),"-")</f>
        <v>TONINHO</v>
      </c>
      <c r="S14" s="18" t="str">
        <f>IFERROR(VLOOKUP(J14,'torre fevereiro'!$A$25:$V$61,16),"-")</f>
        <v>RODRIGO</v>
      </c>
      <c r="T14" s="18" t="str">
        <f>IFERROR(VLOOKUP(J14,'torre fevereiro'!$A$25:$V$61,18),"-")</f>
        <v>GUILHERME</v>
      </c>
      <c r="U14" s="18" t="str">
        <f>IFERROR(VLOOKUP(J14,'torre fevereiro'!$A$25:$V$61,20),"-")</f>
        <v>ALLAN</v>
      </c>
      <c r="V14" s="24" t="str">
        <f>IFERROR(VLOOKUP(J14,'torre fevereiro'!$A$25:$V$61,22),"-")</f>
        <v>VITORIA</v>
      </c>
      <c r="X14" s="49" t="s">
        <v>27</v>
      </c>
      <c r="Y14" s="25" t="str">
        <f>'torre fevereiro'!G6</f>
        <v>MARCO</v>
      </c>
      <c r="Z14" s="19">
        <f t="shared" si="2"/>
        <v>4</v>
      </c>
      <c r="AA14" s="19">
        <f t="shared" si="3"/>
        <v>7</v>
      </c>
      <c r="AB14" s="19">
        <f t="shared" si="4"/>
        <v>4</v>
      </c>
      <c r="AC14" s="19">
        <f t="shared" si="5"/>
        <v>4</v>
      </c>
      <c r="AD14" s="19">
        <f t="shared" si="6"/>
        <v>19</v>
      </c>
      <c r="AE14" s="19">
        <f t="shared" si="7"/>
        <v>9</v>
      </c>
    </row>
    <row r="15" spans="5:31" ht="22.5" customHeight="1" x14ac:dyDescent="0.25">
      <c r="J15" s="175">
        <v>46058</v>
      </c>
      <c r="K15" s="18">
        <f t="shared" si="0"/>
        <v>4</v>
      </c>
      <c r="L15" s="18" t="str">
        <f t="shared" si="1"/>
        <v>QUINTA</v>
      </c>
      <c r="M15" s="18" t="str">
        <f>IFERROR(VLOOKUP(J15,'torre fevereiro'!$A$25:$V$61,4),"-")</f>
        <v>EDUARDO</v>
      </c>
      <c r="N15" s="18" t="str">
        <f>IFERROR(VLOOKUP(J15,'torre fevereiro'!$A$25:$V$61,6),"-")</f>
        <v>THAIS</v>
      </c>
      <c r="O15" s="18" t="str">
        <f>IFERROR(VLOOKUP(J15,'torre fevereiro'!$A$25:$V$61,8),"-")</f>
        <v>B.HORNES</v>
      </c>
      <c r="P15" s="18" t="str">
        <f>IFERROR(VLOOKUP(J15,'torre fevereiro'!$A$25:$V$61,10),"-")</f>
        <v>FELIPE</v>
      </c>
      <c r="Q15" s="18" t="str">
        <f>IFERROR(VLOOKUP(J15,'torre fevereiro'!$A$25:$V$62,12),"-")</f>
        <v>CLEITON</v>
      </c>
      <c r="R15" s="18" t="str">
        <f>IFERROR(VLOOKUP(J15,'torre fevereiro'!$A$25:$V$62,14),"-")</f>
        <v>TONINHO</v>
      </c>
      <c r="S15" s="18" t="str">
        <f>IFERROR(VLOOKUP(J15,'torre fevereiro'!$A$25:$V$61,16),"-")</f>
        <v>RODRIGO</v>
      </c>
      <c r="T15" s="18" t="str">
        <f>IFERROR(VLOOKUP(J15,'torre fevereiro'!$A$25:$V$61,18),"-")</f>
        <v>GUILHERME</v>
      </c>
      <c r="U15" s="18" t="str">
        <f>IFERROR(VLOOKUP(J15,'torre fevereiro'!$A$25:$V$61,20),"-")</f>
        <v>B.MACHADO</v>
      </c>
      <c r="V15" s="24" t="str">
        <f>IFERROR(VLOOKUP(J15,'torre fevereiro'!$A$25:$V$61,22),"-")</f>
        <v>BRANCÃO</v>
      </c>
      <c r="X15" s="49" t="s">
        <v>8</v>
      </c>
      <c r="Y15" s="183" t="str">
        <f>'torre fevereiro'!G7</f>
        <v>B.HORNES</v>
      </c>
      <c r="Z15" s="19">
        <f t="shared" si="2"/>
        <v>4</v>
      </c>
      <c r="AA15" s="19">
        <f t="shared" si="3"/>
        <v>4</v>
      </c>
      <c r="AB15" s="19">
        <f t="shared" si="4"/>
        <v>6</v>
      </c>
      <c r="AC15" s="19">
        <f t="shared" si="5"/>
        <v>4</v>
      </c>
      <c r="AD15" s="19">
        <f t="shared" si="6"/>
        <v>18</v>
      </c>
      <c r="AE15" s="19">
        <f t="shared" si="7"/>
        <v>10</v>
      </c>
    </row>
    <row r="16" spans="5:31" ht="22.5" customHeight="1" x14ac:dyDescent="0.25">
      <c r="J16" s="175">
        <v>46059</v>
      </c>
      <c r="K16" s="18">
        <f t="shared" si="0"/>
        <v>5</v>
      </c>
      <c r="L16" s="18" t="str">
        <f t="shared" si="1"/>
        <v>SEXTA</v>
      </c>
      <c r="M16" s="18" t="str">
        <f>IFERROR(VLOOKUP(J16,'torre fevereiro'!$A$25:$V$61,4),"-")</f>
        <v>EDUARDO</v>
      </c>
      <c r="N16" s="18" t="str">
        <f>IFERROR(VLOOKUP(J16,'torre fevereiro'!$A$25:$V$61,6),"-")</f>
        <v>THAIS</v>
      </c>
      <c r="O16" s="18" t="str">
        <f>IFERROR(VLOOKUP(J16,'torre fevereiro'!$A$25:$V$61,8),"-")</f>
        <v>B.HORNES</v>
      </c>
      <c r="P16" s="18" t="str">
        <f>IFERROR(VLOOKUP(J16,'torre fevereiro'!$A$25:$V$61,10),"-")</f>
        <v>FELIPE</v>
      </c>
      <c r="Q16" s="18" t="str">
        <f>IFERROR(VLOOKUP(J16,'torre fevereiro'!$A$25:$V$62,12),"-")</f>
        <v>TONINHO</v>
      </c>
      <c r="R16" s="18" t="str">
        <f>IFERROR(VLOOKUP(J16,'torre fevereiro'!$A$25:$V$62,14),"-")</f>
        <v>CLEITON</v>
      </c>
      <c r="S16" s="18" t="str">
        <f>IFERROR(VLOOKUP(J16,'torre fevereiro'!$A$25:$V$61,16),"-")</f>
        <v>RODRIGO</v>
      </c>
      <c r="T16" s="18" t="str">
        <f>IFERROR(VLOOKUP(J16,'torre fevereiro'!$A$25:$V$61,18),"-")</f>
        <v>VITORIA</v>
      </c>
      <c r="U16" s="18" t="str">
        <f>IFERROR(VLOOKUP(J16,'torre fevereiro'!$A$25:$V$61,20),"-")</f>
        <v>B.MACHADO</v>
      </c>
      <c r="V16" s="24" t="str">
        <f>IFERROR(VLOOKUP(J16,'torre fevereiro'!$A$25:$V$61,22),"-")</f>
        <v>BRANCÃO</v>
      </c>
      <c r="X16" s="49" t="s">
        <v>12</v>
      </c>
      <c r="Y16" s="25" t="str">
        <f>'torre fevereiro'!G8</f>
        <v>RODRIGO</v>
      </c>
      <c r="Z16" s="19">
        <f t="shared" si="2"/>
        <v>4</v>
      </c>
      <c r="AA16" s="19">
        <f t="shared" si="3"/>
        <v>5</v>
      </c>
      <c r="AB16" s="19">
        <f t="shared" si="4"/>
        <v>6</v>
      </c>
      <c r="AC16" s="19">
        <f t="shared" si="5"/>
        <v>4</v>
      </c>
      <c r="AD16" s="19">
        <f t="shared" si="6"/>
        <v>19</v>
      </c>
      <c r="AE16" s="19">
        <f t="shared" si="7"/>
        <v>9</v>
      </c>
    </row>
    <row r="17" spans="10:31" ht="22.5" customHeight="1" x14ac:dyDescent="0.25">
      <c r="J17" s="175">
        <v>46060</v>
      </c>
      <c r="K17" s="18">
        <f t="shared" si="0"/>
        <v>6</v>
      </c>
      <c r="L17" s="18" t="str">
        <f t="shared" si="1"/>
        <v>SABADO</v>
      </c>
      <c r="M17" s="18" t="str">
        <f>IFERROR(VLOOKUP(J17,'torre fevereiro'!$A$25:$V$61,4),"-")</f>
        <v>MARCO</v>
      </c>
      <c r="N17" s="18" t="str">
        <f>IFERROR(VLOOKUP(J17,'torre fevereiro'!$A$25:$V$61,6),"-")</f>
        <v>THAIS</v>
      </c>
      <c r="O17" s="18" t="str">
        <f>IFERROR(VLOOKUP(J17,'torre fevereiro'!$A$25:$V$61,8),"-")</f>
        <v>B.HORNES</v>
      </c>
      <c r="P17" s="18" t="str">
        <f>IFERROR(VLOOKUP(J17,'torre fevereiro'!$A$25:$V$61,10),"-")</f>
        <v>GUILHERME</v>
      </c>
      <c r="Q17" s="18" t="str">
        <f>IFERROR(VLOOKUP(J17,'torre fevereiro'!$A$25:$V$62,12),"-")</f>
        <v>-</v>
      </c>
      <c r="R17" s="18" t="str">
        <f>IFERROR(VLOOKUP(J17,'torre fevereiro'!$A$25:$V$62,14),"-")</f>
        <v>-</v>
      </c>
      <c r="S17" s="18" t="str">
        <f>IFERROR(VLOOKUP(J17,'torre fevereiro'!$A$25:$V$61,16),"-")</f>
        <v>ALLAN</v>
      </c>
      <c r="T17" s="18" t="str">
        <f>IFERROR(VLOOKUP(J17,'torre fevereiro'!$A$25:$V$61,18),"-")</f>
        <v>VITORIA</v>
      </c>
      <c r="U17" s="18" t="str">
        <f>IFERROR(VLOOKUP(J17,'torre fevereiro'!$A$25:$V$61,20),"-")</f>
        <v>B.MACHADO</v>
      </c>
      <c r="V17" s="24" t="str">
        <f>IFERROR(VLOOKUP(J17,'torre fevereiro'!$A$25:$V$61,22),"-")</f>
        <v>BRANCÃO</v>
      </c>
      <c r="X17" s="49" t="s">
        <v>3</v>
      </c>
      <c r="Y17" s="183" t="str">
        <f>'torre fevereiro'!G9</f>
        <v>B.SELAYARAN</v>
      </c>
      <c r="Z17" s="19">
        <f t="shared" si="2"/>
        <v>0</v>
      </c>
      <c r="AA17" s="19">
        <f t="shared" si="3"/>
        <v>0</v>
      </c>
      <c r="AB17" s="19">
        <f t="shared" si="4"/>
        <v>0</v>
      </c>
      <c r="AC17" s="19">
        <f t="shared" si="5"/>
        <v>0</v>
      </c>
      <c r="AD17" s="19">
        <f t="shared" si="6"/>
        <v>0</v>
      </c>
      <c r="AE17" s="19">
        <f t="shared" si="7"/>
        <v>28</v>
      </c>
    </row>
    <row r="18" spans="10:31" ht="22.5" customHeight="1" x14ac:dyDescent="0.25">
      <c r="J18" s="175">
        <v>46061</v>
      </c>
      <c r="K18" s="18">
        <f t="shared" si="0"/>
        <v>7</v>
      </c>
      <c r="L18" s="18" t="str">
        <f t="shared" si="1"/>
        <v>DOMINGO</v>
      </c>
      <c r="M18" s="18" t="str">
        <f>IFERROR(VLOOKUP(J18,'torre fevereiro'!$A$25:$V$61,4),"-")</f>
        <v>MARCO</v>
      </c>
      <c r="N18" s="18" t="str">
        <f>IFERROR(VLOOKUP(J18,'torre fevereiro'!$A$25:$V$61,6),"-")</f>
        <v>FELIPE</v>
      </c>
      <c r="O18" s="18" t="str">
        <f>IFERROR(VLOOKUP(J18,'torre fevereiro'!$A$25:$V$61,8),"-")</f>
        <v>B.HORNES</v>
      </c>
      <c r="P18" s="18" t="str">
        <f>IFERROR(VLOOKUP(J18,'torre fevereiro'!$A$25:$V$61,10),"-")</f>
        <v>GUILHERME</v>
      </c>
      <c r="Q18" s="18" t="str">
        <f>IFERROR(VLOOKUP(J18,'torre fevereiro'!$A$25:$V$62,12),"-")</f>
        <v>-</v>
      </c>
      <c r="R18" s="18" t="str">
        <f>IFERROR(VLOOKUP(J18,'torre fevereiro'!$A$25:$V$62,14),"-")</f>
        <v>-</v>
      </c>
      <c r="S18" s="18" t="str">
        <f>IFERROR(VLOOKUP(J18,'torre fevereiro'!$A$25:$V$61,16),"-")</f>
        <v>ALLAN</v>
      </c>
      <c r="T18" s="18" t="str">
        <f>IFERROR(VLOOKUP(J18,'torre fevereiro'!$A$25:$V$61,18),"-")</f>
        <v>VITORIA</v>
      </c>
      <c r="U18" s="18" t="str">
        <f>IFERROR(VLOOKUP(J18,'torre fevereiro'!$A$25:$V$61,20),"-")</f>
        <v>B.MACHADO</v>
      </c>
      <c r="V18" s="24" t="str">
        <f>IFERROR(VLOOKUP(J18,'torre fevereiro'!$A$25:$V$61,22),"-")</f>
        <v>BRANCÃO</v>
      </c>
      <c r="X18" s="50" t="s">
        <v>10</v>
      </c>
      <c r="Y18" s="25" t="str">
        <f>'torre fevereiro'!G10</f>
        <v>VITORIA</v>
      </c>
      <c r="Z18" s="19">
        <f t="shared" si="2"/>
        <v>4</v>
      </c>
      <c r="AA18" s="19">
        <f t="shared" si="3"/>
        <v>4</v>
      </c>
      <c r="AB18" s="19">
        <f t="shared" si="4"/>
        <v>6</v>
      </c>
      <c r="AC18" s="19">
        <f t="shared" si="5"/>
        <v>8</v>
      </c>
      <c r="AD18" s="19">
        <f t="shared" si="6"/>
        <v>22</v>
      </c>
      <c r="AE18" s="19">
        <f t="shared" si="7"/>
        <v>6</v>
      </c>
    </row>
    <row r="19" spans="10:31" ht="22.5" customHeight="1" x14ac:dyDescent="0.25">
      <c r="J19" s="175">
        <v>46062</v>
      </c>
      <c r="K19" s="18">
        <f t="shared" si="0"/>
        <v>1</v>
      </c>
      <c r="L19" s="18" t="str">
        <f t="shared" si="1"/>
        <v>SEGUNDA</v>
      </c>
      <c r="M19" s="18" t="str">
        <f>IFERROR(VLOOKUP(J19,'torre fevereiro'!$A$25:$V$61,4),"-")</f>
        <v>MARCO</v>
      </c>
      <c r="N19" s="18" t="str">
        <f>IFERROR(VLOOKUP(J19,'torre fevereiro'!$A$25:$V$61,6),"-")</f>
        <v>FELIPE</v>
      </c>
      <c r="O19" s="18" t="str">
        <f>IFERROR(VLOOKUP(J19,'torre fevereiro'!$A$25:$V$61,8),"-")</f>
        <v>RODRIGO</v>
      </c>
      <c r="P19" s="18" t="str">
        <f>IFERROR(VLOOKUP(J19,'torre fevereiro'!$A$25:$V$61,10),"-")</f>
        <v>GUILHERME</v>
      </c>
      <c r="Q19" s="18" t="str">
        <f>IFERROR(VLOOKUP(J19,'torre fevereiro'!$A$25:$V$62,12),"-")</f>
        <v>CLEITON</v>
      </c>
      <c r="R19" s="18" t="str">
        <f>IFERROR(VLOOKUP(J19,'torre fevereiro'!$A$25:$V$62,14),"-")</f>
        <v>TONINHO</v>
      </c>
      <c r="S19" s="18" t="str">
        <f>IFERROR(VLOOKUP(J19,'torre fevereiro'!$A$25:$V$61,16),"-")</f>
        <v>ALLAN</v>
      </c>
      <c r="T19" s="18" t="str">
        <f>IFERROR(VLOOKUP(J19,'torre fevereiro'!$A$25:$V$61,18),"-")</f>
        <v>VITORIA</v>
      </c>
      <c r="U19" s="18" t="str">
        <f>IFERROR(VLOOKUP(J19,'torre fevereiro'!$A$25:$V$61,20),"-")</f>
        <v>EDUARDO</v>
      </c>
      <c r="V19" s="24" t="str">
        <f>IFERROR(VLOOKUP(J19,'torre fevereiro'!$A$25:$V$61,22),"-")</f>
        <v>THAIS</v>
      </c>
      <c r="X19" s="50" t="s">
        <v>4</v>
      </c>
      <c r="Y19" s="25" t="str">
        <f>'torre fevereiro'!G11</f>
        <v>BRANCÃO</v>
      </c>
      <c r="Z19" s="19">
        <f t="shared" si="2"/>
        <v>7</v>
      </c>
      <c r="AA19" s="19">
        <f t="shared" si="3"/>
        <v>4</v>
      </c>
      <c r="AB19" s="19">
        <f t="shared" si="4"/>
        <v>4</v>
      </c>
      <c r="AC19" s="19">
        <f t="shared" si="5"/>
        <v>8</v>
      </c>
      <c r="AD19" s="19">
        <f t="shared" si="6"/>
        <v>23</v>
      </c>
      <c r="AE19" s="19">
        <f t="shared" si="7"/>
        <v>5</v>
      </c>
    </row>
    <row r="20" spans="10:31" ht="22.5" customHeight="1" x14ac:dyDescent="0.25">
      <c r="J20" s="175">
        <v>46063</v>
      </c>
      <c r="K20" s="18">
        <f t="shared" si="0"/>
        <v>2</v>
      </c>
      <c r="L20" s="18" t="str">
        <f t="shared" si="1"/>
        <v>TERÇA</v>
      </c>
      <c r="M20" s="18" t="str">
        <f>IFERROR(VLOOKUP(J20,'torre fevereiro'!$A$25:$V$61,4),"-")</f>
        <v>MARCO</v>
      </c>
      <c r="N20" s="18" t="str">
        <f>IFERROR(VLOOKUP(J20,'torre fevereiro'!$A$25:$V$61,6),"-")</f>
        <v>FELIPE</v>
      </c>
      <c r="O20" s="18" t="str">
        <f>IFERROR(VLOOKUP(J20,'torre fevereiro'!$A$25:$V$61,8),"-")</f>
        <v>RODRIGO</v>
      </c>
      <c r="P20" s="18" t="str">
        <f>IFERROR(VLOOKUP(J20,'torre fevereiro'!$A$25:$V$61,10),"-")</f>
        <v>GUILHERME</v>
      </c>
      <c r="Q20" s="18" t="str">
        <f>IFERROR(VLOOKUP(J20,'torre fevereiro'!$A$25:$V$62,12),"-")</f>
        <v>CLEITON</v>
      </c>
      <c r="R20" s="18" t="str">
        <f>IFERROR(VLOOKUP(J20,'torre fevereiro'!$A$25:$V$62,14),"-")</f>
        <v>TONINHO</v>
      </c>
      <c r="S20" s="18" t="str">
        <f>IFERROR(VLOOKUP(J20,'torre fevereiro'!$A$25:$V$61,16),"-")</f>
        <v>ALLAN</v>
      </c>
      <c r="T20" s="18" t="str">
        <f>IFERROR(VLOOKUP(J20,'torre fevereiro'!$A$25:$V$61,18),"-")</f>
        <v>BRANCÃO</v>
      </c>
      <c r="U20" s="18" t="str">
        <f>IFERROR(VLOOKUP(J20,'torre fevereiro'!$A$25:$V$61,20),"-")</f>
        <v>EDUARDO</v>
      </c>
      <c r="V20" s="24" t="str">
        <f>IFERROR(VLOOKUP(J20,'torre fevereiro'!$A$25:$V$61,22),"-")</f>
        <v>THAIS</v>
      </c>
      <c r="X20" s="50" t="s">
        <v>28</v>
      </c>
      <c r="Y20" s="25" t="str">
        <f>'torre fevereiro'!G12</f>
        <v>THAIS</v>
      </c>
      <c r="Z20" s="19">
        <f t="shared" si="2"/>
        <v>7</v>
      </c>
      <c r="AA20" s="19">
        <f t="shared" si="3"/>
        <v>6</v>
      </c>
      <c r="AB20" s="19">
        <f t="shared" si="4"/>
        <v>4</v>
      </c>
      <c r="AC20" s="19">
        <f t="shared" si="5"/>
        <v>4</v>
      </c>
      <c r="AD20" s="19">
        <f t="shared" si="6"/>
        <v>21</v>
      </c>
      <c r="AE20" s="19">
        <f t="shared" si="7"/>
        <v>7</v>
      </c>
    </row>
    <row r="21" spans="10:31" ht="22.5" customHeight="1" x14ac:dyDescent="0.25">
      <c r="J21" s="175">
        <v>46064</v>
      </c>
      <c r="K21" s="18">
        <f t="shared" si="0"/>
        <v>3</v>
      </c>
      <c r="L21" s="18" t="str">
        <f t="shared" si="1"/>
        <v>QUARTA</v>
      </c>
      <c r="M21" s="18" t="str">
        <f>IFERROR(VLOOKUP(J21,'torre fevereiro'!$A$25:$V$61,4),"-")</f>
        <v>B.HORNES</v>
      </c>
      <c r="N21" s="18" t="str">
        <f>IFERROR(VLOOKUP(J21,'torre fevereiro'!$A$25:$V$61,6),"-")</f>
        <v>FELIPE</v>
      </c>
      <c r="O21" s="18" t="str">
        <f>IFERROR(VLOOKUP(J21,'torre fevereiro'!$A$25:$V$61,8),"-")</f>
        <v>RODRIGO</v>
      </c>
      <c r="P21" s="18" t="str">
        <f>IFERROR(VLOOKUP(J21,'torre fevereiro'!$A$25:$V$61,10),"-")</f>
        <v>VITORIA</v>
      </c>
      <c r="Q21" s="18" t="str">
        <f>IFERROR(VLOOKUP(J21,'torre fevereiro'!$A$25:$V$62,12),"-")</f>
        <v>CLEITON</v>
      </c>
      <c r="R21" s="18" t="str">
        <f>IFERROR(VLOOKUP(J21,'torre fevereiro'!$A$25:$V$62,14),"-")</f>
        <v>TONINHO</v>
      </c>
      <c r="S21" s="18" t="str">
        <f>IFERROR(VLOOKUP(J21,'torre fevereiro'!$A$25:$V$61,16),"-")</f>
        <v>B.MACHADO</v>
      </c>
      <c r="T21" s="18" t="str">
        <f>IFERROR(VLOOKUP(J21,'torre fevereiro'!$A$25:$V$61,18),"-")</f>
        <v>BRANCÃO</v>
      </c>
      <c r="U21" s="18" t="str">
        <f>IFERROR(VLOOKUP(J21,'torre fevereiro'!$A$25:$V$61,20),"-")</f>
        <v>EDUARDO</v>
      </c>
      <c r="V21" s="24" t="str">
        <f>IFERROR(VLOOKUP(J21,'torre fevereiro'!$A$25:$V$61,22),"-")</f>
        <v>THAIS</v>
      </c>
      <c r="X21" s="50" t="s">
        <v>6</v>
      </c>
      <c r="Y21" s="25" t="str">
        <f>'torre fevereiro'!G13</f>
        <v>FELIPE</v>
      </c>
      <c r="Z21" s="19">
        <f t="shared" si="2"/>
        <v>6</v>
      </c>
      <c r="AA21" s="19">
        <f t="shared" si="3"/>
        <v>6</v>
      </c>
      <c r="AB21" s="19">
        <f t="shared" si="4"/>
        <v>5</v>
      </c>
      <c r="AC21" s="19">
        <f t="shared" si="5"/>
        <v>4</v>
      </c>
      <c r="AD21" s="19">
        <f t="shared" si="6"/>
        <v>21</v>
      </c>
      <c r="AE21" s="19">
        <f t="shared" si="7"/>
        <v>7</v>
      </c>
    </row>
    <row r="22" spans="10:31" ht="22.5" customHeight="1" x14ac:dyDescent="0.25">
      <c r="J22" s="175">
        <v>46065</v>
      </c>
      <c r="K22" s="18">
        <f t="shared" si="0"/>
        <v>4</v>
      </c>
      <c r="L22" s="18" t="str">
        <f t="shared" si="1"/>
        <v>QUINTA</v>
      </c>
      <c r="M22" s="18" t="str">
        <f>IFERROR(VLOOKUP(J22,'torre fevereiro'!$A$25:$V$61,4),"-")</f>
        <v>B.HORNES</v>
      </c>
      <c r="N22" s="18" t="str">
        <f>IFERROR(VLOOKUP(J22,'torre fevereiro'!$A$25:$V$61,6),"-")</f>
        <v>GUILHERME</v>
      </c>
      <c r="O22" s="18" t="str">
        <f>IFERROR(VLOOKUP(J22,'torre fevereiro'!$A$25:$V$61,8),"-")</f>
        <v>RODRIGO</v>
      </c>
      <c r="P22" s="18" t="str">
        <f>IFERROR(VLOOKUP(J22,'torre fevereiro'!$A$25:$V$61,10),"-")</f>
        <v>VITORIA</v>
      </c>
      <c r="Q22" s="18" t="str">
        <f>IFERROR(VLOOKUP(J22,'torre fevereiro'!$A$25:$V$62,12),"-")</f>
        <v>CLEITON</v>
      </c>
      <c r="R22" s="18" t="str">
        <f>IFERROR(VLOOKUP(J22,'torre fevereiro'!$A$25:$V$62,14),"-")</f>
        <v>TONINHO</v>
      </c>
      <c r="S22" s="18" t="str">
        <f>IFERROR(VLOOKUP(J22,'torre fevereiro'!$A$25:$V$61,16),"-")</f>
        <v>B.MACHADO</v>
      </c>
      <c r="T22" s="18" t="str">
        <f>IFERROR(VLOOKUP(J22,'torre fevereiro'!$A$25:$V$61,18),"-")</f>
        <v>BRANCÃO</v>
      </c>
      <c r="U22" s="18" t="str">
        <f>IFERROR(VLOOKUP(J22,'torre fevereiro'!$A$25:$V$61,20),"-")</f>
        <v>EDUARDO</v>
      </c>
      <c r="V22" s="24" t="str">
        <f>IFERROR(VLOOKUP(J22,'torre fevereiro'!$A$25:$V$61,22),"-")</f>
        <v>THAIS</v>
      </c>
      <c r="X22" s="50" t="s">
        <v>59</v>
      </c>
      <c r="Y22" s="25" t="str">
        <f>'torre fevereiro'!G14</f>
        <v>GUILHERME</v>
      </c>
      <c r="Z22" s="19">
        <f t="shared" si="2"/>
        <v>4</v>
      </c>
      <c r="AA22" s="19">
        <f t="shared" si="3"/>
        <v>8</v>
      </c>
      <c r="AB22" s="19">
        <f t="shared" si="4"/>
        <v>5</v>
      </c>
      <c r="AC22" s="19">
        <f t="shared" si="5"/>
        <v>4</v>
      </c>
      <c r="AD22" s="19">
        <f t="shared" si="6"/>
        <v>21</v>
      </c>
      <c r="AE22" s="19">
        <f t="shared" si="7"/>
        <v>7</v>
      </c>
    </row>
    <row r="23" spans="10:31" ht="22.5" customHeight="1" x14ac:dyDescent="0.25">
      <c r="J23" s="175">
        <v>46066</v>
      </c>
      <c r="K23" s="18">
        <f t="shared" si="0"/>
        <v>5</v>
      </c>
      <c r="L23" s="18" t="str">
        <f t="shared" si="1"/>
        <v>SEXTA</v>
      </c>
      <c r="M23" s="18" t="str">
        <f>IFERROR(VLOOKUP(J23,'torre fevereiro'!$A$25:$V$61,4),"-")</f>
        <v>B.HORNES</v>
      </c>
      <c r="N23" s="18" t="str">
        <f>IFERROR(VLOOKUP(J23,'torre fevereiro'!$A$25:$V$61,6),"-")</f>
        <v>GUILHERME</v>
      </c>
      <c r="O23" s="18" t="str">
        <f>IFERROR(VLOOKUP(J23,'torre fevereiro'!$A$25:$V$61,8),"-")</f>
        <v>ALLAN</v>
      </c>
      <c r="P23" s="18" t="str">
        <f>IFERROR(VLOOKUP(J23,'torre fevereiro'!$A$25:$V$61,10),"-")</f>
        <v>VITORIA</v>
      </c>
      <c r="Q23" s="18" t="str">
        <f>IFERROR(VLOOKUP(J23,'torre fevereiro'!$A$25:$V$62,12),"-")</f>
        <v>TONINHO</v>
      </c>
      <c r="R23" s="18" t="str">
        <f>IFERROR(VLOOKUP(J23,'torre fevereiro'!$A$25:$V$62,14),"-")</f>
        <v>CLEITON</v>
      </c>
      <c r="S23" s="18" t="str">
        <f>IFERROR(VLOOKUP(J23,'torre fevereiro'!$A$25:$V$61,16),"-")</f>
        <v>B.MACHADO</v>
      </c>
      <c r="T23" s="18" t="str">
        <f>IFERROR(VLOOKUP(J23,'torre fevereiro'!$A$25:$V$61,18),"-")</f>
        <v>BRANCÃO</v>
      </c>
      <c r="U23" s="18" t="str">
        <f>IFERROR(VLOOKUP(J23,'torre fevereiro'!$A$25:$V$61,20),"-")</f>
        <v>MARCO</v>
      </c>
      <c r="V23" s="24" t="str">
        <f>IFERROR(VLOOKUP(J23,'torre fevereiro'!$A$25:$V$61,22),"-")</f>
        <v>FELIPE</v>
      </c>
      <c r="X23" s="50" t="s">
        <v>95</v>
      </c>
      <c r="Y23" s="25" t="str">
        <f>'torre fevereiro'!G15</f>
        <v>RICHER</v>
      </c>
      <c r="Z23" s="19">
        <f t="shared" si="2"/>
        <v>0</v>
      </c>
      <c r="AA23" s="19">
        <f t="shared" si="3"/>
        <v>0</v>
      </c>
      <c r="AB23" s="19">
        <f t="shared" si="4"/>
        <v>4</v>
      </c>
      <c r="AC23" s="19">
        <f t="shared" si="5"/>
        <v>0</v>
      </c>
      <c r="AD23" s="19">
        <f t="shared" si="6"/>
        <v>4</v>
      </c>
      <c r="AE23" s="19">
        <f t="shared" si="7"/>
        <v>24</v>
      </c>
    </row>
    <row r="24" spans="10:31" ht="22.5" customHeight="1" x14ac:dyDescent="0.25">
      <c r="J24" s="175">
        <v>46067</v>
      </c>
      <c r="K24" s="18">
        <f t="shared" si="0"/>
        <v>6</v>
      </c>
      <c r="L24" s="18" t="str">
        <f t="shared" si="1"/>
        <v>SABADO</v>
      </c>
      <c r="M24" s="18" t="str">
        <f>IFERROR(VLOOKUP(J24,'torre fevereiro'!$A$25:$V$61,4),"-")</f>
        <v>B.HORNES</v>
      </c>
      <c r="N24" s="18" t="str">
        <f>IFERROR(VLOOKUP(J24,'torre fevereiro'!$A$25:$V$61,6),"-")</f>
        <v>GUILHERME</v>
      </c>
      <c r="O24" s="18" t="str">
        <f>IFERROR(VLOOKUP(J24,'torre fevereiro'!$A$25:$V$61,8),"-")</f>
        <v>ALLAN</v>
      </c>
      <c r="P24" s="18" t="str">
        <f>IFERROR(VLOOKUP(J24,'torre fevereiro'!$A$25:$V$61,10),"-")</f>
        <v>VITORIA</v>
      </c>
      <c r="Q24" s="18" t="str">
        <f>IFERROR(VLOOKUP(J24,'torre fevereiro'!$A$25:$V$62,12),"-")</f>
        <v>-</v>
      </c>
      <c r="R24" s="18" t="str">
        <f>IFERROR(VLOOKUP(J24,'torre fevereiro'!$A$25:$V$62,14),"-")</f>
        <v>-</v>
      </c>
      <c r="S24" s="18" t="str">
        <f>IFERROR(VLOOKUP(J24,'torre fevereiro'!$A$25:$V$61,16),"-")</f>
        <v>B.MACHADO</v>
      </c>
      <c r="T24" s="18" t="str">
        <f>IFERROR(VLOOKUP(J24,'torre fevereiro'!$A$25:$V$61,18),"-")</f>
        <v>THAIS</v>
      </c>
      <c r="U24" s="18" t="str">
        <f>IFERROR(VLOOKUP(J24,'torre fevereiro'!$A$25:$V$61,20),"-")</f>
        <v>MARCO</v>
      </c>
      <c r="V24" s="24" t="str">
        <f>IFERROR(VLOOKUP(J24,'torre fevereiro'!$A$25:$V$61,22),"-")</f>
        <v>FELIPE</v>
      </c>
      <c r="X24" s="50" t="s">
        <v>99</v>
      </c>
      <c r="Y24" s="25">
        <f>'torre fevereiro'!G16</f>
        <v>0</v>
      </c>
      <c r="Z24" s="19">
        <f t="shared" si="2"/>
        <v>0</v>
      </c>
      <c r="AA24" s="19">
        <f t="shared" si="3"/>
        <v>0</v>
      </c>
      <c r="AB24" s="19">
        <f t="shared" si="4"/>
        <v>0</v>
      </c>
      <c r="AC24" s="19">
        <f t="shared" si="5"/>
        <v>0</v>
      </c>
      <c r="AD24" s="19">
        <f t="shared" si="6"/>
        <v>0</v>
      </c>
      <c r="AE24" s="19">
        <f t="shared" si="7"/>
        <v>28</v>
      </c>
    </row>
    <row r="25" spans="10:31" ht="22.5" customHeight="1" x14ac:dyDescent="0.25">
      <c r="J25" s="175">
        <v>46068</v>
      </c>
      <c r="K25" s="18">
        <f t="shared" si="0"/>
        <v>7</v>
      </c>
      <c r="L25" s="18" t="str">
        <f t="shared" si="1"/>
        <v>DOMINGO</v>
      </c>
      <c r="M25" s="18" t="str">
        <f>IFERROR(VLOOKUP(J25,'torre fevereiro'!$A$25:$V$61,4),"-")</f>
        <v>RODRIGO</v>
      </c>
      <c r="N25" s="18" t="str">
        <f>IFERROR(VLOOKUP(J25,'torre fevereiro'!$A$25:$V$61,6),"-")</f>
        <v>GUILHERME</v>
      </c>
      <c r="O25" s="18" t="str">
        <f>IFERROR(VLOOKUP(J25,'torre fevereiro'!$A$25:$V$61,8),"-")</f>
        <v>ALLAN</v>
      </c>
      <c r="P25" s="18" t="str">
        <f>IFERROR(VLOOKUP(J25,'torre fevereiro'!$A$25:$V$61,10),"-")</f>
        <v>BRANCÃO</v>
      </c>
      <c r="Q25" s="18" t="str">
        <f>IFERROR(VLOOKUP(J25,'torre fevereiro'!$A$25:$V$62,12),"-")</f>
        <v>-</v>
      </c>
      <c r="R25" s="18" t="str">
        <f>IFERROR(VLOOKUP(J25,'torre fevereiro'!$A$25:$V$62,14),"-")</f>
        <v>-</v>
      </c>
      <c r="S25" s="18" t="str">
        <f>IFERROR(VLOOKUP(J25,'torre fevereiro'!$A$25:$V$61,16),"-")</f>
        <v>EDUARDO</v>
      </c>
      <c r="T25" s="18" t="str">
        <f>IFERROR(VLOOKUP(J25,'torre fevereiro'!$A$25:$V$61,18),"-")</f>
        <v>THAIS</v>
      </c>
      <c r="U25" s="18" t="str">
        <f>IFERROR(VLOOKUP(J25,'torre fevereiro'!$A$25:$V$61,20),"-")</f>
        <v>MARCO</v>
      </c>
      <c r="V25" s="24" t="str">
        <f>IFERROR(VLOOKUP(J25,'torre fevereiro'!$A$25:$V$61,22),"-")</f>
        <v>FELIPE</v>
      </c>
      <c r="X25" s="78" t="s">
        <v>62</v>
      </c>
      <c r="Y25" s="25" t="str">
        <f>'torre fevereiro'!G17</f>
        <v>TONINHO</v>
      </c>
      <c r="Z25" s="19" t="s">
        <v>68</v>
      </c>
      <c r="AA25" s="19">
        <f>COUNTIF($Q$11:$Q$42,Y25)</f>
        <v>4</v>
      </c>
      <c r="AB25" s="19">
        <f>COUNTIF($R$11:$R$42,Y25)</f>
        <v>15</v>
      </c>
      <c r="AC25" s="19" t="str">
        <f>'torre fevereiro'!K17</f>
        <v>-</v>
      </c>
      <c r="AD25" s="19">
        <f t="shared" si="6"/>
        <v>19</v>
      </c>
      <c r="AE25" s="19">
        <f t="shared" si="7"/>
        <v>9</v>
      </c>
    </row>
    <row r="26" spans="10:31" ht="22.5" customHeight="1" x14ac:dyDescent="0.25">
      <c r="J26" s="175">
        <v>46069</v>
      </c>
      <c r="K26" s="18">
        <f t="shared" si="0"/>
        <v>1</v>
      </c>
      <c r="L26" s="18" t="str">
        <f t="shared" si="1"/>
        <v>SEGUNDA</v>
      </c>
      <c r="M26" s="18" t="str">
        <f>IFERROR(VLOOKUP(J26,'torre fevereiro'!$A$25:$V$61,4),"-")</f>
        <v>RODRIGO</v>
      </c>
      <c r="N26" s="18" t="str">
        <f>IFERROR(VLOOKUP(J26,'torre fevereiro'!$A$25:$V$61,6),"-")</f>
        <v>VITORIA</v>
      </c>
      <c r="O26" s="18" t="str">
        <f>IFERROR(VLOOKUP(J26,'torre fevereiro'!$A$25:$V$61,8),"-")</f>
        <v>ALLAN</v>
      </c>
      <c r="P26" s="18" t="str">
        <f>IFERROR(VLOOKUP(J26,'torre fevereiro'!$A$25:$V$61,10),"-")</f>
        <v>BRANCÃO</v>
      </c>
      <c r="Q26" s="18" t="str">
        <f>IFERROR(VLOOKUP(J26,'torre fevereiro'!$A$25:$V$62,12),"-")</f>
        <v>CLEITON</v>
      </c>
      <c r="R26" s="18" t="str">
        <f>IFERROR(VLOOKUP(J26,'torre fevereiro'!$A$25:$V$62,14),"-")</f>
        <v>TONINHO</v>
      </c>
      <c r="S26" s="18" t="str">
        <f>IFERROR(VLOOKUP(J26,'torre fevereiro'!$A$25:$V$61,16),"-")</f>
        <v>EDUARDO</v>
      </c>
      <c r="T26" s="18" t="str">
        <f>IFERROR(VLOOKUP(J26,'torre fevereiro'!$A$25:$V$61,18),"-")</f>
        <v>THAIS</v>
      </c>
      <c r="U26" s="18" t="str">
        <f>IFERROR(VLOOKUP(J26,'torre fevereiro'!$A$25:$V$61,20),"-")</f>
        <v>MARCO</v>
      </c>
      <c r="V26" s="24" t="str">
        <f>IFERROR(VLOOKUP(J26,'torre fevereiro'!$A$25:$V$61,22),"-")</f>
        <v>FELIPE</v>
      </c>
      <c r="X26" s="78" t="s">
        <v>63</v>
      </c>
      <c r="Y26" s="25" t="str">
        <f>'torre fevereiro'!G18</f>
        <v>CLEITON</v>
      </c>
      <c r="Z26" s="19" t="s">
        <v>68</v>
      </c>
      <c r="AA26" s="19">
        <f>COUNTIF($Q$11:$Q$42,Y26)</f>
        <v>15</v>
      </c>
      <c r="AB26" s="19">
        <f>COUNTIF($R$11:$R$42,Y26)</f>
        <v>4</v>
      </c>
      <c r="AC26" s="19" t="str">
        <f>'torre fevereiro'!K18</f>
        <v>-</v>
      </c>
      <c r="AD26" s="19">
        <f t="shared" si="6"/>
        <v>19</v>
      </c>
      <c r="AE26" s="19">
        <f t="shared" si="7"/>
        <v>9</v>
      </c>
    </row>
    <row r="27" spans="10:31" ht="22.5" customHeight="1" x14ac:dyDescent="0.25">
      <c r="J27" s="175">
        <v>46070</v>
      </c>
      <c r="K27" s="18">
        <f t="shared" si="0"/>
        <v>2</v>
      </c>
      <c r="L27" s="18" t="str">
        <f t="shared" si="1"/>
        <v>TERÇA</v>
      </c>
      <c r="M27" s="18" t="str">
        <f>IFERROR(VLOOKUP(J27,'torre fevereiro'!$A$25:$V$61,4),"-")</f>
        <v>RODRIGO</v>
      </c>
      <c r="N27" s="18" t="str">
        <f>IFERROR(VLOOKUP(J27,'torre fevereiro'!$A$25:$V$61,6),"-")</f>
        <v>VITORIA</v>
      </c>
      <c r="O27" s="18" t="str">
        <f>IFERROR(VLOOKUP(J27,'torre fevereiro'!$A$25:$V$61,8),"-")</f>
        <v>B.MACHADO</v>
      </c>
      <c r="P27" s="18" t="str">
        <f>IFERROR(VLOOKUP(J27,'torre fevereiro'!$A$25:$V$61,10),"-")</f>
        <v>BRANCÃO</v>
      </c>
      <c r="Q27" s="18" t="str">
        <f>IFERROR(VLOOKUP(J27,'torre fevereiro'!$A$25:$V$62,12),"-")</f>
        <v>CLEITON</v>
      </c>
      <c r="R27" s="18" t="str">
        <f>IFERROR(VLOOKUP(J27,'torre fevereiro'!$A$25:$V$62,14),"-")</f>
        <v>TONINHO</v>
      </c>
      <c r="S27" s="18" t="str">
        <f>IFERROR(VLOOKUP(J27,'torre fevereiro'!$A$25:$V$61,16),"-")</f>
        <v>EDUARDO</v>
      </c>
      <c r="T27" s="18" t="str">
        <f>IFERROR(VLOOKUP(J27,'torre fevereiro'!$A$25:$V$61,18),"-")</f>
        <v>THAIS</v>
      </c>
      <c r="U27" s="18" t="str">
        <f>IFERROR(VLOOKUP(J27,'torre fevereiro'!$A$25:$V$61,20),"-")</f>
        <v>B.HORNES</v>
      </c>
      <c r="V27" s="24" t="str">
        <f>IFERROR(VLOOKUP(J27,'torre fevereiro'!$A$25:$V$61,22),"-")</f>
        <v>GUILHERME</v>
      </c>
    </row>
    <row r="28" spans="10:31" ht="22.5" customHeight="1" x14ac:dyDescent="0.25">
      <c r="J28" s="175">
        <v>46071</v>
      </c>
      <c r="K28" s="18">
        <f t="shared" si="0"/>
        <v>3</v>
      </c>
      <c r="L28" s="18" t="str">
        <f t="shared" si="1"/>
        <v>QUARTA</v>
      </c>
      <c r="M28" s="18" t="str">
        <f>IFERROR(VLOOKUP(J28,'torre fevereiro'!$A$25:$V$61,4),"-")</f>
        <v>RODRIGO</v>
      </c>
      <c r="N28" s="18" t="str">
        <f>IFERROR(VLOOKUP(J28,'torre fevereiro'!$A$25:$V$61,6),"-")</f>
        <v>VITORIA</v>
      </c>
      <c r="O28" s="18" t="str">
        <f>IFERROR(VLOOKUP(J28,'torre fevereiro'!$A$25:$V$61,8),"-")</f>
        <v>B.MACHADO</v>
      </c>
      <c r="P28" s="18" t="str">
        <f>IFERROR(VLOOKUP(J28,'torre fevereiro'!$A$25:$V$61,10),"-")</f>
        <v>BRANCÃO</v>
      </c>
      <c r="Q28" s="18" t="str">
        <f>IFERROR(VLOOKUP(J28,'torre fevereiro'!$A$25:$V$62,12),"-")</f>
        <v>CLEITON</v>
      </c>
      <c r="R28" s="18" t="str">
        <f>IFERROR(VLOOKUP(J28,'torre fevereiro'!$A$25:$V$62,14),"-")</f>
        <v>TONINHO</v>
      </c>
      <c r="S28" s="18" t="str">
        <f>IFERROR(VLOOKUP(J28,'torre fevereiro'!$A$25:$V$61,16),"-")</f>
        <v>EDUARDO</v>
      </c>
      <c r="T28" s="18" t="str">
        <f>IFERROR(VLOOKUP(J28,'torre fevereiro'!$A$25:$V$61,18),"-")</f>
        <v>FELIPE</v>
      </c>
      <c r="U28" s="18" t="str">
        <f>IFERROR(VLOOKUP(J28,'torre fevereiro'!$A$25:$V$61,20),"-")</f>
        <v>B.HORNES</v>
      </c>
      <c r="V28" s="24" t="str">
        <f>IFERROR(VLOOKUP(J28,'torre fevereiro'!$A$25:$V$61,22),"-")</f>
        <v>GUILHERME</v>
      </c>
    </row>
    <row r="29" spans="10:31" ht="22.5" customHeight="1" x14ac:dyDescent="0.25">
      <c r="J29" s="175">
        <v>46072</v>
      </c>
      <c r="K29" s="18">
        <f t="shared" si="0"/>
        <v>4</v>
      </c>
      <c r="L29" s="18" t="str">
        <f t="shared" si="1"/>
        <v>QUINTA</v>
      </c>
      <c r="M29" s="18" t="str">
        <f>IFERROR(VLOOKUP(J29,'torre fevereiro'!$A$25:$V$61,4),"-")</f>
        <v>ALLAN</v>
      </c>
      <c r="N29" s="18" t="str">
        <f>IFERROR(VLOOKUP(J29,'torre fevereiro'!$A$25:$V$61,6),"-")</f>
        <v>VITORIA</v>
      </c>
      <c r="O29" s="18" t="str">
        <f>IFERROR(VLOOKUP(J29,'torre fevereiro'!$A$25:$V$61,8),"-")</f>
        <v>B.MACHADO</v>
      </c>
      <c r="P29" s="18" t="str">
        <f>IFERROR(VLOOKUP(J29,'torre fevereiro'!$A$25:$V$61,10),"-")</f>
        <v>THAIS</v>
      </c>
      <c r="Q29" s="18" t="str">
        <f>IFERROR(VLOOKUP(J29,'torre fevereiro'!$A$25:$V$62,12),"-")</f>
        <v>CLEITON</v>
      </c>
      <c r="R29" s="18" t="str">
        <f>IFERROR(VLOOKUP(J29,'torre fevereiro'!$A$25:$V$62,14),"-")</f>
        <v>TONINHO</v>
      </c>
      <c r="S29" s="18" t="str">
        <f>IFERROR(VLOOKUP(J29,'torre fevereiro'!$A$25:$V$61,16),"-")</f>
        <v>MARCO</v>
      </c>
      <c r="T29" s="18" t="str">
        <f>IFERROR(VLOOKUP(J29,'torre fevereiro'!$A$25:$V$61,18),"-")</f>
        <v>FELIPE</v>
      </c>
      <c r="U29" s="18" t="str">
        <f>IFERROR(VLOOKUP(J29,'torre fevereiro'!$A$25:$V$61,20),"-")</f>
        <v>B.HORNES</v>
      </c>
      <c r="V29" s="24" t="str">
        <f>IFERROR(VLOOKUP(J29,'torre fevereiro'!$A$25:$V$61,22),"-")</f>
        <v>GUILHERME</v>
      </c>
    </row>
    <row r="30" spans="10:31" ht="22.5" customHeight="1" x14ac:dyDescent="0.25">
      <c r="J30" s="175">
        <v>46073</v>
      </c>
      <c r="K30" s="18">
        <f t="shared" si="0"/>
        <v>5</v>
      </c>
      <c r="L30" s="18" t="str">
        <f t="shared" si="1"/>
        <v>SEXTA</v>
      </c>
      <c r="M30" s="18" t="str">
        <f>IFERROR(VLOOKUP(J30,'torre fevereiro'!$A$25:$V$61,4),"-")</f>
        <v>ALLAN</v>
      </c>
      <c r="N30" s="18" t="str">
        <f>IFERROR(VLOOKUP(J30,'torre fevereiro'!$A$25:$V$61,6),"-")</f>
        <v>BRANCÃO</v>
      </c>
      <c r="O30" s="18" t="str">
        <f>IFERROR(VLOOKUP(J30,'torre fevereiro'!$A$25:$V$61,8),"-")</f>
        <v>B.MACHADO</v>
      </c>
      <c r="P30" s="18" t="str">
        <f>IFERROR(VLOOKUP(J30,'torre fevereiro'!$A$25:$V$61,10),"-")</f>
        <v>THAIS</v>
      </c>
      <c r="Q30" s="18" t="str">
        <f>IFERROR(VLOOKUP(J30,'torre fevereiro'!$A$25:$V$62,12),"-")</f>
        <v>TONINHO</v>
      </c>
      <c r="R30" s="18" t="str">
        <f>IFERROR(VLOOKUP(J30,'torre fevereiro'!$A$25:$V$62,14),"-")</f>
        <v>CLEITON</v>
      </c>
      <c r="S30" s="18" t="str">
        <f>IFERROR(VLOOKUP(J30,'torre fevereiro'!$A$25:$V$61,16),"-")</f>
        <v>MARCO</v>
      </c>
      <c r="T30" s="18" t="str">
        <f>IFERROR(VLOOKUP(J30,'torre fevereiro'!$A$25:$V$61,18),"-")</f>
        <v>FELIPE</v>
      </c>
      <c r="U30" s="18" t="str">
        <f>IFERROR(VLOOKUP(J30,'torre fevereiro'!$A$25:$V$61,20),"-")</f>
        <v>B.HORNES</v>
      </c>
      <c r="V30" s="24" t="str">
        <f>IFERROR(VLOOKUP(J30,'torre fevereiro'!$A$25:$V$61,22),"-")</f>
        <v>GUILHERME</v>
      </c>
      <c r="X30" s="155" t="e" cm="1">
        <f t="array" aca="1" ref="X30" ca="1">CountCcolor(M11:V41,X30)</f>
        <v>#NAME?</v>
      </c>
      <c r="Y30" s="217" t="e">
        <f ca="1">X30+X31</f>
        <v>#NAME?</v>
      </c>
    </row>
    <row r="31" spans="10:31" ht="22.5" customHeight="1" x14ac:dyDescent="0.25">
      <c r="J31" s="175">
        <v>46074</v>
      </c>
      <c r="K31" s="18">
        <f t="shared" si="0"/>
        <v>6</v>
      </c>
      <c r="L31" s="18" t="str">
        <f t="shared" si="1"/>
        <v>SABADO</v>
      </c>
      <c r="M31" s="18" t="str">
        <f>IFERROR(VLOOKUP(J31,'torre fevereiro'!$A$25:$V$61,4),"-")</f>
        <v>ALLAN</v>
      </c>
      <c r="N31" s="18" t="str">
        <f>IFERROR(VLOOKUP(J31,'torre fevereiro'!$A$25:$V$61,6),"-")</f>
        <v>BRANCÃO</v>
      </c>
      <c r="O31" s="18" t="str">
        <f>IFERROR(VLOOKUP(J31,'torre fevereiro'!$A$25:$V$61,8),"-")</f>
        <v>EDUARDO</v>
      </c>
      <c r="P31" s="18" t="str">
        <f>IFERROR(VLOOKUP(J31,'torre fevereiro'!$A$25:$V$61,10),"-")</f>
        <v>THAIS</v>
      </c>
      <c r="Q31" s="18" t="str">
        <f>IFERROR(VLOOKUP(J31,'torre fevereiro'!$A$25:$V$62,12),"-")</f>
        <v>-</v>
      </c>
      <c r="R31" s="18" t="str">
        <f>IFERROR(VLOOKUP(J31,'torre fevereiro'!$A$25:$V$62,14),"-")</f>
        <v>-</v>
      </c>
      <c r="S31" s="18" t="str">
        <f>IFERROR(VLOOKUP(J31,'torre fevereiro'!$A$25:$V$61,16),"-")</f>
        <v>MARCO</v>
      </c>
      <c r="T31" s="18" t="str">
        <f>IFERROR(VLOOKUP(J31,'torre fevereiro'!$A$25:$V$61,18),"-")</f>
        <v>FELIPE</v>
      </c>
      <c r="U31" s="18" t="str">
        <f>IFERROR(VLOOKUP(J31,'torre fevereiro'!$A$25:$V$61,20),"-")</f>
        <v>RODRIGO</v>
      </c>
      <c r="V31" s="24" t="str">
        <f>IFERROR(VLOOKUP(J31,'torre fevereiro'!$A$25:$V$61,22),"-")</f>
        <v>VITORIA</v>
      </c>
      <c r="X31" s="156" t="e" cm="1">
        <f t="array" aca="1" ref="X31" ca="1">CountCcolor(M11:V41,X31)</f>
        <v>#NAME?</v>
      </c>
      <c r="Y31" s="218"/>
    </row>
    <row r="32" spans="10:31" ht="22.5" customHeight="1" x14ac:dyDescent="0.25">
      <c r="J32" s="175">
        <v>46075</v>
      </c>
      <c r="K32" s="18">
        <f t="shared" si="0"/>
        <v>7</v>
      </c>
      <c r="L32" s="18" t="str">
        <f t="shared" si="1"/>
        <v>DOMINGO</v>
      </c>
      <c r="M32" s="18" t="str">
        <f>IFERROR(VLOOKUP(J32,'torre fevereiro'!$A$25:$V$61,4),"-")</f>
        <v>ALLAN</v>
      </c>
      <c r="N32" s="18" t="str">
        <f>IFERROR(VLOOKUP(J32,'torre fevereiro'!$A$25:$V$61,6),"-")</f>
        <v>BRANCÃO</v>
      </c>
      <c r="O32" s="18" t="str">
        <f>IFERROR(VLOOKUP(J32,'torre fevereiro'!$A$25:$V$61,8),"-")</f>
        <v>EDUARDO</v>
      </c>
      <c r="P32" s="18" t="str">
        <f>IFERROR(VLOOKUP(J32,'torre fevereiro'!$A$25:$V$61,10),"-")</f>
        <v>THAIS</v>
      </c>
      <c r="Q32" s="18" t="str">
        <f>IFERROR(VLOOKUP(J32,'torre fevereiro'!$A$25:$V$62,12),"-")</f>
        <v>-</v>
      </c>
      <c r="R32" s="18" t="str">
        <f>IFERROR(VLOOKUP(J32,'torre fevereiro'!$A$25:$V$62,14),"-")</f>
        <v>-</v>
      </c>
      <c r="S32" s="18" t="str">
        <f>IFERROR(VLOOKUP(J32,'torre fevereiro'!$A$25:$V$61,16),"-")</f>
        <v>MARCO</v>
      </c>
      <c r="T32" s="18" t="str">
        <f>IFERROR(VLOOKUP(J32,'torre fevereiro'!$A$25:$V$61,18),"-")</f>
        <v>GUILHERME</v>
      </c>
      <c r="U32" s="18" t="str">
        <f>IFERROR(VLOOKUP(J32,'torre fevereiro'!$A$25:$V$61,20),"-")</f>
        <v>RODRIGO</v>
      </c>
      <c r="V32" s="24" t="str">
        <f>IFERROR(VLOOKUP(J32,'torre fevereiro'!$A$25:$V$61,22),"-")</f>
        <v>VITORIA</v>
      </c>
    </row>
    <row r="33" spans="10:22" ht="22.5" customHeight="1" x14ac:dyDescent="0.25">
      <c r="J33" s="26">
        <v>46076</v>
      </c>
      <c r="K33" s="18">
        <f t="shared" si="0"/>
        <v>1</v>
      </c>
      <c r="L33" s="18" t="str">
        <f t="shared" si="1"/>
        <v>SEGUNDA</v>
      </c>
      <c r="M33" s="18" t="str">
        <f>IFERROR(VLOOKUP(J33,'torre fevereiro'!$A$25:$V$61,4),"-")</f>
        <v>B.MACHADO</v>
      </c>
      <c r="N33" s="18" t="str">
        <f>IFERROR(VLOOKUP(J33,'torre fevereiro'!$A$25:$V$61,6),"-")</f>
        <v>BRANCÃO</v>
      </c>
      <c r="O33" s="18" t="str">
        <f>IFERROR(VLOOKUP(J33,'torre fevereiro'!$A$25:$V$61,8),"-")</f>
        <v>EDUARDO</v>
      </c>
      <c r="P33" s="18" t="str">
        <f>IFERROR(VLOOKUP(J33,'torre fevereiro'!$A$25:$V$61,10),"-")</f>
        <v>FELIPE</v>
      </c>
      <c r="Q33" s="18" t="str">
        <f>IFERROR(VLOOKUP(J33,'torre fevereiro'!$A$25:$V$62,12),"-")</f>
        <v>CLEITON</v>
      </c>
      <c r="R33" s="18" t="str">
        <f>IFERROR(VLOOKUP(J33,'torre fevereiro'!$A$25:$V$62,14),"-")</f>
        <v>TONINHO</v>
      </c>
      <c r="S33" s="18" t="str">
        <f>IFERROR(VLOOKUP(J33,'torre fevereiro'!$A$25:$V$61,16),"-")</f>
        <v>B.HORNES</v>
      </c>
      <c r="T33" s="18" t="str">
        <f>IFERROR(VLOOKUP(J33,'torre fevereiro'!$A$25:$V$61,18),"-")</f>
        <v>RICHER</v>
      </c>
      <c r="U33" s="18" t="str">
        <f>IFERROR(VLOOKUP(J33,'torre fevereiro'!$A$25:$V$61,20),"-")</f>
        <v>RODRIGO</v>
      </c>
      <c r="V33" s="24" t="str">
        <f>IFERROR(VLOOKUP(J33,'torre fevereiro'!$A$25:$V$61,22),"-")</f>
        <v>VITORIA</v>
      </c>
    </row>
    <row r="34" spans="10:22" ht="22.5" customHeight="1" x14ac:dyDescent="0.25">
      <c r="J34" s="175">
        <v>46077</v>
      </c>
      <c r="K34" s="18">
        <f t="shared" si="0"/>
        <v>2</v>
      </c>
      <c r="L34" s="18" t="str">
        <f t="shared" si="1"/>
        <v>TERÇA</v>
      </c>
      <c r="M34" s="18" t="str">
        <f>IFERROR(VLOOKUP(J34,'torre fevereiro'!$A$25:$V$61,4),"-")</f>
        <v>B.MACHADO</v>
      </c>
      <c r="N34" s="18" t="str">
        <f>IFERROR(VLOOKUP(J34,'torre fevereiro'!$A$25:$V$61,6),"-")</f>
        <v>THAIS</v>
      </c>
      <c r="O34" s="18" t="str">
        <f>IFERROR(VLOOKUP(J34,'torre fevereiro'!$A$25:$V$61,8),"-")</f>
        <v>EDUARDO</v>
      </c>
      <c r="P34" s="18" t="str">
        <f>IFERROR(VLOOKUP(J34,'torre fevereiro'!$A$25:$V$61,10),"-")</f>
        <v>FELIPE</v>
      </c>
      <c r="Q34" s="18" t="str">
        <f>IFERROR(VLOOKUP(J34,'torre fevereiro'!$A$25:$V$62,12),"-")</f>
        <v>CLEITON</v>
      </c>
      <c r="R34" s="18" t="str">
        <f>IFERROR(VLOOKUP(J34,'torre fevereiro'!$A$25:$V$62,14),"-")</f>
        <v>TONINHO</v>
      </c>
      <c r="S34" s="18" t="str">
        <f>IFERROR(VLOOKUP(J34,'torre fevereiro'!$A$25:$V$61,16),"-")</f>
        <v>B.HORNES</v>
      </c>
      <c r="T34" s="18" t="str">
        <f>IFERROR(VLOOKUP(J34,'torre fevereiro'!$A$25:$V$61,18),"-")</f>
        <v>RICHER</v>
      </c>
      <c r="U34" s="18" t="str">
        <f>IFERROR(VLOOKUP(J34,'torre fevereiro'!$A$25:$V$61,20),"-")</f>
        <v>RODRIGO</v>
      </c>
      <c r="V34" s="24" t="str">
        <f>IFERROR(VLOOKUP(J34,'torre fevereiro'!$A$25:$V$61,22),"-")</f>
        <v>VITORIA</v>
      </c>
    </row>
    <row r="35" spans="10:22" ht="22.5" customHeight="1" x14ac:dyDescent="0.25">
      <c r="J35" s="175">
        <v>46078</v>
      </c>
      <c r="K35" s="18">
        <f t="shared" si="0"/>
        <v>3</v>
      </c>
      <c r="L35" s="18" t="str">
        <f t="shared" si="1"/>
        <v>QUARTA</v>
      </c>
      <c r="M35" s="18" t="str">
        <f>IFERROR(VLOOKUP(J35,'torre fevereiro'!$A$25:$V$61,4),"-")</f>
        <v>B.MACHADO</v>
      </c>
      <c r="N35" s="18" t="str">
        <f>IFERROR(VLOOKUP(J35,'torre fevereiro'!$A$25:$V$61,6),"-")</f>
        <v>THAIS</v>
      </c>
      <c r="O35" s="18" t="str">
        <f>IFERROR(VLOOKUP(J35,'torre fevereiro'!$A$25:$V$61,8),"-")</f>
        <v>MARCO</v>
      </c>
      <c r="P35" s="18" t="str">
        <f>IFERROR(VLOOKUP(J35,'torre fevereiro'!$A$25:$V$61,10),"-")</f>
        <v>GUILHERME</v>
      </c>
      <c r="Q35" s="18" t="str">
        <f>IFERROR(VLOOKUP(J35,'torre fevereiro'!$A$25:$V$62,12),"-")</f>
        <v>CLEITON</v>
      </c>
      <c r="R35" s="18" t="str">
        <f>IFERROR(VLOOKUP(J35,'torre fevereiro'!$A$25:$V$62,14),"-")</f>
        <v>TONINHO</v>
      </c>
      <c r="S35" s="18" t="str">
        <f>IFERROR(VLOOKUP(J35,'torre fevereiro'!$A$25:$V$61,16),"-")</f>
        <v>B.HORNES</v>
      </c>
      <c r="T35" s="18" t="str">
        <f>IFERROR(VLOOKUP(J35,'torre fevereiro'!$A$25:$V$61,18),"-")</f>
        <v>RICHER</v>
      </c>
      <c r="U35" s="18" t="str">
        <f>IFERROR(VLOOKUP(J35,'torre fevereiro'!$A$25:$V$61,20),"-")</f>
        <v>ALLAN</v>
      </c>
      <c r="V35" s="24" t="str">
        <f>IFERROR(VLOOKUP(J35,'torre fevereiro'!$A$25:$V$61,22),"-")</f>
        <v>BRANCÃO</v>
      </c>
    </row>
    <row r="36" spans="10:22" ht="22.5" customHeight="1" x14ac:dyDescent="0.25">
      <c r="J36" s="175">
        <v>46079</v>
      </c>
      <c r="K36" s="18">
        <f t="shared" si="0"/>
        <v>4</v>
      </c>
      <c r="L36" s="18" t="str">
        <f t="shared" si="1"/>
        <v>QUINTA</v>
      </c>
      <c r="M36" s="18" t="str">
        <f>IFERROR(VLOOKUP(J36,'torre fevereiro'!$A$25:$V$61,4),"-")</f>
        <v>B.MACHADO</v>
      </c>
      <c r="N36" s="18" t="str">
        <f>IFERROR(VLOOKUP(J36,'torre fevereiro'!$A$25:$V$61,6),"-")</f>
        <v>THAIS</v>
      </c>
      <c r="O36" s="18" t="str">
        <f>IFERROR(VLOOKUP(J36,'torre fevereiro'!$A$25:$V$61,8),"-")</f>
        <v>MARCO</v>
      </c>
      <c r="P36" s="18" t="str">
        <f>IFERROR(VLOOKUP(J36,'torre fevereiro'!$A$25:$V$61,10),"-")</f>
        <v>GUILHERME</v>
      </c>
      <c r="Q36" s="18" t="str">
        <f>IFERROR(VLOOKUP(J36,'torre fevereiro'!$A$25:$V$62,12),"-")</f>
        <v>CLEITON</v>
      </c>
      <c r="R36" s="18" t="str">
        <f>IFERROR(VLOOKUP(J36,'torre fevereiro'!$A$25:$V$62,14),"-")</f>
        <v>TONINHO</v>
      </c>
      <c r="S36" s="18" t="str">
        <f>IFERROR(VLOOKUP(J36,'torre fevereiro'!$A$25:$V$61,16),"-")</f>
        <v>B.HORNES</v>
      </c>
      <c r="T36" s="18" t="str">
        <f>IFERROR(VLOOKUP(J36,'torre fevereiro'!$A$25:$V$61,18),"-")</f>
        <v>RICHER</v>
      </c>
      <c r="U36" s="18" t="str">
        <f>IFERROR(VLOOKUP(J36,'torre fevereiro'!$A$25:$V$61,20),"-")</f>
        <v>ALLAN</v>
      </c>
      <c r="V36" s="24" t="str">
        <f>IFERROR(VLOOKUP(J36,'torre fevereiro'!$A$25:$V$61,22),"-")</f>
        <v>BRANCÃO</v>
      </c>
    </row>
    <row r="37" spans="10:22" ht="22.5" customHeight="1" x14ac:dyDescent="0.25">
      <c r="J37" s="175">
        <v>46080</v>
      </c>
      <c r="K37" s="18">
        <f t="shared" si="0"/>
        <v>5</v>
      </c>
      <c r="L37" s="18" t="str">
        <f t="shared" si="1"/>
        <v>SEXTA</v>
      </c>
      <c r="M37" s="18" t="str">
        <f>IFERROR(VLOOKUP(J37,'torre fevereiro'!$A$25:$V$61,4),"-")</f>
        <v>EDUARDO</v>
      </c>
      <c r="N37" s="18" t="str">
        <f>IFERROR(VLOOKUP(J37,'torre fevereiro'!$A$25:$V$61,6),"-")</f>
        <v>FELIPE</v>
      </c>
      <c r="O37" s="18" t="str">
        <f>IFERROR(VLOOKUP(J37,'torre fevereiro'!$A$25:$V$61,8),"-")</f>
        <v>MARCO</v>
      </c>
      <c r="P37" s="18" t="str">
        <f>IFERROR(VLOOKUP(J37,'torre fevereiro'!$A$25:$V$61,10),"-")</f>
        <v>GUILHERME</v>
      </c>
      <c r="Q37" s="18" t="str">
        <f>IFERROR(VLOOKUP(J37,'torre fevereiro'!$A$25:$V$62,12),"-")</f>
        <v>TONINHO</v>
      </c>
      <c r="R37" s="18" t="str">
        <f>IFERROR(VLOOKUP(J37,'torre fevereiro'!$A$25:$V$62,14),"-")</f>
        <v>CLEITON</v>
      </c>
      <c r="S37" s="18" t="str">
        <f>IFERROR(VLOOKUP(J37,'torre fevereiro'!$A$25:$V$61,16),"-")</f>
        <v>RODRIGO</v>
      </c>
      <c r="T37" s="18" t="str">
        <f>IFERROR(VLOOKUP(J37,'torre fevereiro'!$A$25:$V$61,18),"-")</f>
        <v>VITORIA</v>
      </c>
      <c r="U37" s="18" t="str">
        <f>IFERROR(VLOOKUP(J37,'torre fevereiro'!$A$25:$V$61,20),"-")</f>
        <v>ALLAN</v>
      </c>
      <c r="V37" s="24" t="str">
        <f>IFERROR(VLOOKUP(J37,'torre fevereiro'!$A$25:$V$61,22),"-")</f>
        <v>BRANCÃO</v>
      </c>
    </row>
    <row r="38" spans="10:22" ht="22.5" customHeight="1" thickBot="1" x14ac:dyDescent="0.3">
      <c r="J38" s="82">
        <v>46081</v>
      </c>
      <c r="K38" s="18">
        <f t="shared" si="0"/>
        <v>6</v>
      </c>
      <c r="L38" s="18" t="str">
        <f t="shared" si="1"/>
        <v>SABADO</v>
      </c>
      <c r="M38" s="18" t="str">
        <f>IFERROR(VLOOKUP(J38,'torre fevereiro'!$A$25:$V$61,4),"-")</f>
        <v>EDUARDO</v>
      </c>
      <c r="N38" s="18" t="str">
        <f>IFERROR(VLOOKUP(J38,'torre fevereiro'!$A$25:$V$61,6),"-")</f>
        <v>FELIPE</v>
      </c>
      <c r="O38" s="18" t="str">
        <f>IFERROR(VLOOKUP(J38,'torre fevereiro'!$A$25:$V$61,8),"-")</f>
        <v>MARCO</v>
      </c>
      <c r="P38" s="18" t="str">
        <f>IFERROR(VLOOKUP(J38,'torre fevereiro'!$A$25:$V$61,10),"-")</f>
        <v>GUILHERME</v>
      </c>
      <c r="Q38" s="18" t="str">
        <f>IFERROR(VLOOKUP(J38,'torre fevereiro'!$A$25:$V$62,12),"-")</f>
        <v>-</v>
      </c>
      <c r="R38" s="18" t="str">
        <f>IFERROR(VLOOKUP(J38,'torre fevereiro'!$A$25:$V$62,14),"-")</f>
        <v>-</v>
      </c>
      <c r="S38" s="18" t="str">
        <f>IFERROR(VLOOKUP(J38,'torre fevereiro'!$A$25:$V$61,16),"-")</f>
        <v>RODRIGO</v>
      </c>
      <c r="T38" s="18" t="str">
        <f>IFERROR(VLOOKUP(J38,'torre fevereiro'!$A$25:$V$61,18),"-")</f>
        <v>VITORIA</v>
      </c>
      <c r="U38" s="18" t="str">
        <f>IFERROR(VLOOKUP(J38,'torre fevereiro'!$A$25:$V$61,20),"-")</f>
        <v>B.MACHADO</v>
      </c>
      <c r="V38" s="24" t="str">
        <f>IFERROR(VLOOKUP(J38,'torre fevereiro'!$A$25:$V$61,22),"-")</f>
        <v>BRANCÃO</v>
      </c>
    </row>
    <row r="39" spans="10:22" ht="22.5" hidden="1" customHeight="1" x14ac:dyDescent="0.25">
      <c r="J39" s="82">
        <v>46082</v>
      </c>
      <c r="K39" s="18">
        <f t="shared" si="0"/>
        <v>7</v>
      </c>
      <c r="L39" s="18" t="str">
        <f t="shared" si="1"/>
        <v>DOMINGO</v>
      </c>
      <c r="M39" s="18" t="str">
        <f>IFERROR(VLOOKUP(J39,'torre fevereiro'!$A$25:$V$61,4),"-")</f>
        <v>-</v>
      </c>
      <c r="N39" s="18" t="str">
        <f>IFERROR(VLOOKUP(J39,'torre fevereiro'!$A$25:$V$61,6),"-")</f>
        <v>-</v>
      </c>
      <c r="O39" s="18" t="str">
        <f>IFERROR(VLOOKUP(J39,'torre fevereiro'!$A$25:$V$61,8),"-")</f>
        <v>-</v>
      </c>
      <c r="P39" s="18" t="str">
        <f>IFERROR(VLOOKUP(J39,'torre fevereiro'!$A$25:$V$61,10),"-")</f>
        <v>-</v>
      </c>
      <c r="Q39" s="18" t="str">
        <f>IFERROR(VLOOKUP(J39,'torre fevereiro'!$A$25:$V$62,12),"-")</f>
        <v>-</v>
      </c>
      <c r="R39" s="18" t="str">
        <f>IFERROR(VLOOKUP(J39,'torre fevereiro'!$A$25:$V$62,14),"-")</f>
        <v>-</v>
      </c>
      <c r="S39" s="18" t="str">
        <f>IFERROR(VLOOKUP(J39,'torre fevereiro'!$A$25:$V$61,16),"-")</f>
        <v>-</v>
      </c>
      <c r="T39" s="18" t="str">
        <f>IFERROR(VLOOKUP(J39,'torre fevereiro'!$A$25:$V$61,18),"-")</f>
        <v>-</v>
      </c>
      <c r="U39" s="18" t="str">
        <f>IFERROR(VLOOKUP(J39,'torre fevereiro'!$A$25:$V$61,20),"-")</f>
        <v>-</v>
      </c>
      <c r="V39" s="24" t="str">
        <f>IFERROR(VLOOKUP(J39,'torre fevereiro'!$A$25:$V$61,22),"-")</f>
        <v>-</v>
      </c>
    </row>
    <row r="40" spans="10:22" ht="22.5" hidden="1" customHeight="1" x14ac:dyDescent="0.25">
      <c r="J40" s="82">
        <v>46083</v>
      </c>
      <c r="K40" s="18">
        <f t="shared" si="0"/>
        <v>1</v>
      </c>
      <c r="L40" s="18" t="str">
        <f t="shared" si="1"/>
        <v>SEGUNDA</v>
      </c>
      <c r="M40" s="18" t="str">
        <f>IFERROR(VLOOKUP(J40,'torre fevereiro'!$A$25:$V$61,4),"-")</f>
        <v>-</v>
      </c>
      <c r="N40" s="18" t="str">
        <f>IFERROR(VLOOKUP(J40,'torre fevereiro'!$A$25:$V$61,6),"-")</f>
        <v>-</v>
      </c>
      <c r="O40" s="18" t="str">
        <f>IFERROR(VLOOKUP(J40,'torre fevereiro'!$A$25:$V$61,8),"-")</f>
        <v>-</v>
      </c>
      <c r="P40" s="18" t="str">
        <f>IFERROR(VLOOKUP(J40,'torre fevereiro'!$A$25:$V$61,10),"-")</f>
        <v>-</v>
      </c>
      <c r="Q40" s="18" t="str">
        <f>IFERROR(VLOOKUP(J40,'torre fevereiro'!$A$25:$V$62,12),"-")</f>
        <v>-</v>
      </c>
      <c r="R40" s="18" t="str">
        <f>IFERROR(VLOOKUP(J40,'torre fevereiro'!$A$25:$V$62,14),"-")</f>
        <v>-</v>
      </c>
      <c r="S40" s="18" t="str">
        <f>IFERROR(VLOOKUP(J40,'torre fevereiro'!$A$25:$V$61,16),"-")</f>
        <v>-</v>
      </c>
      <c r="T40" s="18" t="str">
        <f>IFERROR(VLOOKUP(J40,'torre fevereiro'!$A$25:$V$61,18),"-")</f>
        <v>-</v>
      </c>
      <c r="U40" s="18" t="str">
        <f>IFERROR(VLOOKUP(J40,'torre fevereiro'!$A$25:$V$61,20),"-")</f>
        <v>-</v>
      </c>
      <c r="V40" s="24" t="str">
        <f>IFERROR(VLOOKUP(J40,'torre fevereiro'!$A$25:$V$61,22),"-")</f>
        <v>-</v>
      </c>
    </row>
    <row r="41" spans="10:22" ht="22.5" hidden="1" customHeight="1" thickBot="1" x14ac:dyDescent="0.3">
      <c r="J41" s="92">
        <v>46084</v>
      </c>
      <c r="K41" s="90">
        <f t="shared" si="0"/>
        <v>2</v>
      </c>
      <c r="L41" s="90" t="str">
        <f t="shared" si="1"/>
        <v>TERÇA</v>
      </c>
      <c r="M41" s="90" t="str">
        <f>IFERROR(VLOOKUP(J41,'torre fevereiro'!$A$25:$V$61,4),"-")</f>
        <v>-</v>
      </c>
      <c r="N41" s="90" t="str">
        <f>IFERROR(VLOOKUP(J41,'torre fevereiro'!$A$25:$V$61,6),"-")</f>
        <v>-</v>
      </c>
      <c r="O41" s="90" t="str">
        <f>IFERROR(VLOOKUP(J41,'torre fevereiro'!$A$25:$V$61,8),"-")</f>
        <v>-</v>
      </c>
      <c r="P41" s="90" t="str">
        <f>IFERROR(VLOOKUP(J41,'torre fevereiro'!$A$25:$V$61,10),"-")</f>
        <v>-</v>
      </c>
      <c r="Q41" s="90" t="str">
        <f>IFERROR(VLOOKUP(J41,'torre fevereiro'!$A$25:$V$62,12),"-")</f>
        <v>-</v>
      </c>
      <c r="R41" s="90" t="str">
        <f>IFERROR(VLOOKUP(J41,'torre fevereiro'!$A$25:$V$62,14),"-")</f>
        <v>-</v>
      </c>
      <c r="S41" s="90" t="str">
        <f>IFERROR(VLOOKUP(J41,'torre fevereiro'!$A$25:$V$61,16),"-")</f>
        <v>-</v>
      </c>
      <c r="T41" s="90" t="str">
        <f>IFERROR(VLOOKUP(J41,'torre fevereiro'!$A$25:$V$61,18),"-")</f>
        <v>-</v>
      </c>
      <c r="U41" s="90" t="str">
        <f>IFERROR(VLOOKUP(J41,'torre fevereiro'!$A$25:$V$61,20),"-")</f>
        <v>-</v>
      </c>
      <c r="V41" s="91" t="str">
        <f>IFERROR(VLOOKUP(J41,'torre fevereiro'!$A$25:$V$61,22),"-")</f>
        <v>-</v>
      </c>
    </row>
    <row r="42" spans="10:22" ht="15" customHeight="1" x14ac:dyDescent="0.25">
      <c r="J42" s="109" t="s">
        <v>136</v>
      </c>
      <c r="K42" s="158"/>
      <c r="L42" s="158"/>
      <c r="M42" s="158"/>
      <c r="N42" s="158"/>
      <c r="O42" s="168"/>
      <c r="P42" s="158"/>
      <c r="Q42" s="159"/>
      <c r="R42" s="159"/>
      <c r="S42" s="158"/>
      <c r="T42" s="158"/>
      <c r="U42" s="158"/>
      <c r="V42" s="160"/>
    </row>
    <row r="43" spans="10:22" ht="15" customHeight="1" x14ac:dyDescent="0.25">
      <c r="J43" s="110" t="s">
        <v>137</v>
      </c>
      <c r="K43" s="161"/>
      <c r="L43" s="161"/>
      <c r="M43" s="161"/>
      <c r="N43" s="161"/>
      <c r="O43" s="169"/>
      <c r="P43" s="161"/>
      <c r="Q43" s="162"/>
      <c r="R43" s="162"/>
      <c r="S43" s="161"/>
      <c r="T43" s="161"/>
      <c r="U43" s="161"/>
      <c r="V43" s="163"/>
    </row>
    <row r="44" spans="10:22" ht="15" customHeight="1" x14ac:dyDescent="0.25">
      <c r="J44" s="110" t="s">
        <v>138</v>
      </c>
      <c r="K44" s="161"/>
      <c r="L44" s="161"/>
      <c r="M44" s="161"/>
      <c r="N44" s="161"/>
      <c r="O44" s="161"/>
      <c r="P44" s="161"/>
      <c r="Q44" s="162"/>
      <c r="R44" s="162"/>
      <c r="S44" s="161"/>
      <c r="T44" s="161"/>
      <c r="U44" s="161"/>
      <c r="V44" s="163"/>
    </row>
    <row r="45" spans="10:22" ht="15" customHeight="1" x14ac:dyDescent="0.25">
      <c r="J45" s="110"/>
      <c r="K45" s="161"/>
      <c r="L45" s="161"/>
      <c r="M45" s="161"/>
      <c r="N45" s="161"/>
      <c r="O45" s="161"/>
      <c r="P45" s="161"/>
      <c r="Q45" s="162"/>
      <c r="R45" s="162"/>
      <c r="S45" s="161"/>
      <c r="T45" s="161"/>
      <c r="U45" s="161"/>
      <c r="V45" s="163"/>
    </row>
    <row r="46" spans="10:22" ht="15" customHeight="1" x14ac:dyDescent="0.25">
      <c r="J46" s="110"/>
      <c r="K46" s="161"/>
      <c r="L46" s="161"/>
      <c r="M46" s="161"/>
      <c r="N46" s="161"/>
      <c r="O46" s="161"/>
      <c r="P46" s="161"/>
      <c r="Q46" s="162"/>
      <c r="R46" s="162"/>
      <c r="S46" s="161"/>
      <c r="T46" s="161"/>
      <c r="U46" s="161"/>
      <c r="V46" s="163"/>
    </row>
    <row r="47" spans="10:22" ht="15" customHeight="1" thickBot="1" x14ac:dyDescent="0.3">
      <c r="J47" s="164"/>
      <c r="K47" s="165"/>
      <c r="L47" s="165"/>
      <c r="M47" s="165"/>
      <c r="N47" s="165"/>
      <c r="O47" s="165"/>
      <c r="P47" s="165"/>
      <c r="Q47" s="166"/>
      <c r="R47" s="166"/>
      <c r="S47" s="165"/>
      <c r="T47" s="165"/>
      <c r="U47" s="165"/>
      <c r="V47" s="167"/>
    </row>
    <row r="48" spans="10:22" x14ac:dyDescent="0.25">
      <c r="S48"/>
      <c r="T48"/>
      <c r="U48"/>
      <c r="V48"/>
    </row>
    <row r="49" spans="19:22" x14ac:dyDescent="0.25">
      <c r="S49"/>
      <c r="T49"/>
      <c r="U49"/>
      <c r="V49"/>
    </row>
    <row r="50" spans="19:22" x14ac:dyDescent="0.25">
      <c r="S50"/>
      <c r="T50"/>
      <c r="U50"/>
      <c r="V50"/>
    </row>
    <row r="51" spans="19:22" x14ac:dyDescent="0.25">
      <c r="S51"/>
      <c r="T51"/>
      <c r="U51"/>
      <c r="V51"/>
    </row>
    <row r="52" spans="19:22" x14ac:dyDescent="0.25">
      <c r="S52"/>
      <c r="T52"/>
      <c r="U52"/>
      <c r="V52"/>
    </row>
    <row r="53" spans="19:22" x14ac:dyDescent="0.25">
      <c r="S53"/>
      <c r="T53"/>
      <c r="U53"/>
      <c r="V53"/>
    </row>
    <row r="54" spans="19:22" x14ac:dyDescent="0.25">
      <c r="S54"/>
      <c r="T54"/>
      <c r="U54"/>
      <c r="V54"/>
    </row>
    <row r="55" spans="19:22" x14ac:dyDescent="0.25">
      <c r="S55"/>
      <c r="T55"/>
      <c r="U55"/>
      <c r="V55"/>
    </row>
    <row r="56" spans="19:22" x14ac:dyDescent="0.25">
      <c r="S56"/>
      <c r="T56"/>
      <c r="U56"/>
      <c r="V56"/>
    </row>
    <row r="57" spans="19:22" x14ac:dyDescent="0.25">
      <c r="S57"/>
      <c r="T57"/>
      <c r="U57"/>
      <c r="V57"/>
    </row>
  </sheetData>
  <mergeCells count="11">
    <mergeCell ref="X7:Y7"/>
    <mergeCell ref="M8:V8"/>
    <mergeCell ref="J10:L10"/>
    <mergeCell ref="X10:Y10"/>
    <mergeCell ref="Y30:Y31"/>
    <mergeCell ref="M3:V4"/>
    <mergeCell ref="X3:Y3"/>
    <mergeCell ref="X4:Y4"/>
    <mergeCell ref="M5:V6"/>
    <mergeCell ref="X5:Y5"/>
    <mergeCell ref="X6:Y6"/>
  </mergeCells>
  <pageMargins left="0.51181102362204722" right="0.51181102362204722" top="0.78740157480314965" bottom="0.78740157480314965" header="0.31496062992125984" footer="0.31496062992125984"/>
  <pageSetup paperSize="9" scale="5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F0693-2B29-4D33-A9D2-77E0DD12D8BE}">
  <sheetPr codeName="Planilha131"/>
  <dimension ref="A1:V67"/>
  <sheetViews>
    <sheetView showGridLines="0" topLeftCell="A22" zoomScale="70" zoomScaleNormal="70" workbookViewId="0">
      <selection activeCell="J60" sqref="J60"/>
    </sheetView>
  </sheetViews>
  <sheetFormatPr defaultColWidth="9.140625" defaultRowHeight="15" x14ac:dyDescent="0.25"/>
  <cols>
    <col min="1" max="1" width="13.42578125" style="114" bestFit="1" customWidth="1"/>
    <col min="2" max="2" width="13.42578125" style="114" hidden="1" customWidth="1"/>
    <col min="3" max="3" width="13.7109375" style="114" customWidth="1"/>
    <col min="4" max="6" width="16.140625" style="114" customWidth="1"/>
    <col min="7" max="7" width="15.42578125" style="114" customWidth="1"/>
    <col min="8" max="10" width="16.140625" style="114" customWidth="1"/>
    <col min="11" max="11" width="14.140625" style="114" customWidth="1"/>
    <col min="12" max="12" width="16.140625" style="114" customWidth="1"/>
    <col min="13" max="13" width="12.7109375" style="114" customWidth="1"/>
    <col min="14" max="14" width="16.140625" style="114" customWidth="1"/>
    <col min="15" max="15" width="14.140625" style="114" customWidth="1"/>
    <col min="16" max="16" width="16.140625" style="114" customWidth="1"/>
    <col min="17" max="17" width="14.7109375" style="114" customWidth="1"/>
    <col min="18" max="18" width="16.140625" style="114" customWidth="1"/>
    <col min="19" max="19" width="13.7109375" style="114" customWidth="1"/>
    <col min="20" max="20" width="14.85546875" style="114" customWidth="1"/>
    <col min="21" max="21" width="14.28515625" style="114" customWidth="1"/>
    <col min="22" max="22" width="14.7109375" style="114" customWidth="1"/>
    <col min="23" max="24" width="9.140625" style="114"/>
    <col min="25" max="27" width="10.42578125" style="114" customWidth="1"/>
    <col min="28" max="32" width="9.140625" style="114"/>
    <col min="33" max="33" width="12.7109375" style="114" bestFit="1" customWidth="1"/>
    <col min="34" max="34" width="9.140625" style="114"/>
    <col min="35" max="35" width="12.28515625" style="114" customWidth="1"/>
    <col min="36" max="36" width="11.28515625" style="114" customWidth="1"/>
    <col min="37" max="37" width="11.5703125" style="114" customWidth="1"/>
    <col min="38" max="38" width="11" style="114" customWidth="1"/>
    <col min="39" max="39" width="17.42578125" style="114" customWidth="1"/>
    <col min="40" max="16384" width="9.140625" style="114"/>
  </cols>
  <sheetData>
    <row r="1" spans="3:22" ht="15.75" thickBot="1" x14ac:dyDescent="0.3">
      <c r="V1" s="17"/>
    </row>
    <row r="2" spans="3:22" ht="16.5" thickBot="1" x14ac:dyDescent="0.3">
      <c r="C2" s="118" t="s">
        <v>22</v>
      </c>
      <c r="D2" s="119">
        <v>1</v>
      </c>
      <c r="E2" s="120"/>
      <c r="F2" s="4" t="s">
        <v>44</v>
      </c>
      <c r="G2" s="4" t="s">
        <v>43</v>
      </c>
      <c r="H2" s="4" t="s">
        <v>15</v>
      </c>
      <c r="I2" s="4" t="s">
        <v>16</v>
      </c>
      <c r="J2" s="4" t="s">
        <v>17</v>
      </c>
      <c r="K2" s="4" t="s">
        <v>18</v>
      </c>
      <c r="L2" s="4" t="s">
        <v>42</v>
      </c>
      <c r="M2" s="4" t="s">
        <v>14</v>
      </c>
      <c r="V2" s="17"/>
    </row>
    <row r="3" spans="3:22" ht="15.75" thickBot="1" x14ac:dyDescent="0.3">
      <c r="C3" s="121" t="s">
        <v>26</v>
      </c>
      <c r="D3" s="122" t="s">
        <v>47</v>
      </c>
      <c r="F3" s="123" t="s">
        <v>26</v>
      </c>
      <c r="G3" s="72" t="str">
        <f t="shared" ref="G3:G8" si="0">D3</f>
        <v>ALLAN</v>
      </c>
      <c r="H3" s="124">
        <f>COUNTIF($C$26:$E$60,F3)</f>
        <v>4</v>
      </c>
      <c r="I3" s="124">
        <f>COUNTIF($G$26:$I$60,F3)</f>
        <v>4</v>
      </c>
      <c r="J3" s="124">
        <f>COUNTIF($O$26:$Q$60,F3)</f>
        <v>4</v>
      </c>
      <c r="K3" s="124">
        <f>COUNTIF($S$26:$U$60,F3)</f>
        <v>7</v>
      </c>
      <c r="L3" s="124">
        <f>SUM(H3:K3)</f>
        <v>19</v>
      </c>
      <c r="M3" s="124">
        <f>$M$21-L3</f>
        <v>9</v>
      </c>
      <c r="N3" s="125"/>
      <c r="O3" s="27"/>
      <c r="P3" s="27"/>
      <c r="Q3" s="27"/>
      <c r="R3" s="27"/>
      <c r="S3" s="126"/>
      <c r="T3" s="17"/>
    </row>
    <row r="4" spans="3:22" x14ac:dyDescent="0.25">
      <c r="C4" s="127" t="s">
        <v>1</v>
      </c>
      <c r="D4" s="122" t="s">
        <v>50</v>
      </c>
      <c r="F4" s="123" t="s">
        <v>1</v>
      </c>
      <c r="G4" s="72" t="str">
        <f t="shared" si="0"/>
        <v>B.MACHADO</v>
      </c>
      <c r="H4" s="124">
        <f t="shared" ref="H4:H9" si="1">COUNTIF($C$26:$E$60,F4)</f>
        <v>6</v>
      </c>
      <c r="I4" s="124">
        <f t="shared" ref="I4:I9" si="2">COUNTIF($G$26:$I$60,F4)</f>
        <v>4</v>
      </c>
      <c r="J4" s="124">
        <f t="shared" ref="J4:J9" si="3">COUNTIF($O$26:$Q$60,F4)</f>
        <v>4</v>
      </c>
      <c r="K4" s="124">
        <f t="shared" ref="K4:K9" si="4">COUNTIF($S$26:$U$60,F4)</f>
        <v>5</v>
      </c>
      <c r="L4" s="124">
        <f t="shared" ref="L4:L18" si="5">SUM(H4:K4)</f>
        <v>19</v>
      </c>
      <c r="M4" s="124">
        <f t="shared" ref="M4:M18" si="6">$M$21-L4</f>
        <v>9</v>
      </c>
      <c r="N4" s="27"/>
      <c r="O4" s="1"/>
      <c r="P4" s="31">
        <v>31</v>
      </c>
      <c r="Q4"/>
      <c r="R4"/>
    </row>
    <row r="5" spans="3:22" ht="15.75" x14ac:dyDescent="0.25">
      <c r="C5" s="127" t="s">
        <v>0</v>
      </c>
      <c r="D5" s="122" t="s">
        <v>46</v>
      </c>
      <c r="F5" s="123" t="s">
        <v>0</v>
      </c>
      <c r="G5" s="72" t="str">
        <f t="shared" si="0"/>
        <v>EDUARDO</v>
      </c>
      <c r="H5" s="124">
        <f t="shared" si="1"/>
        <v>6</v>
      </c>
      <c r="I5" s="124">
        <f t="shared" si="2"/>
        <v>4</v>
      </c>
      <c r="J5" s="124">
        <f t="shared" si="3"/>
        <v>4</v>
      </c>
      <c r="K5" s="124">
        <f t="shared" si="4"/>
        <v>4</v>
      </c>
      <c r="L5" s="124">
        <f t="shared" si="5"/>
        <v>18</v>
      </c>
      <c r="M5" s="124">
        <f t="shared" si="6"/>
        <v>10</v>
      </c>
      <c r="N5" s="27"/>
      <c r="O5" s="47" t="s">
        <v>26</v>
      </c>
      <c r="P5" s="5" t="s">
        <v>12</v>
      </c>
      <c r="Q5"/>
      <c r="R5"/>
    </row>
    <row r="6" spans="3:22" x14ac:dyDescent="0.25">
      <c r="C6" s="127" t="s">
        <v>27</v>
      </c>
      <c r="D6" s="128" t="s">
        <v>48</v>
      </c>
      <c r="F6" s="123" t="s">
        <v>27</v>
      </c>
      <c r="G6" s="72" t="str">
        <f t="shared" si="0"/>
        <v>MARCO</v>
      </c>
      <c r="H6" s="124">
        <f t="shared" si="1"/>
        <v>4</v>
      </c>
      <c r="I6" s="124">
        <f t="shared" si="2"/>
        <v>7</v>
      </c>
      <c r="J6" s="124">
        <f t="shared" si="3"/>
        <v>4</v>
      </c>
      <c r="K6" s="124">
        <f t="shared" si="4"/>
        <v>4</v>
      </c>
      <c r="L6" s="124">
        <f t="shared" si="5"/>
        <v>19</v>
      </c>
      <c r="M6" s="124">
        <f t="shared" si="6"/>
        <v>9</v>
      </c>
      <c r="N6" s="27"/>
      <c r="O6" s="48" t="s">
        <v>1</v>
      </c>
      <c r="P6" s="5" t="s">
        <v>0</v>
      </c>
      <c r="Q6"/>
      <c r="R6"/>
    </row>
    <row r="7" spans="3:22" x14ac:dyDescent="0.25">
      <c r="C7" s="127" t="s">
        <v>8</v>
      </c>
      <c r="D7" s="130" t="s">
        <v>45</v>
      </c>
      <c r="F7" s="123" t="s">
        <v>8</v>
      </c>
      <c r="G7" s="72" t="str">
        <f t="shared" si="0"/>
        <v>B.HORNES</v>
      </c>
      <c r="H7" s="124">
        <f t="shared" si="1"/>
        <v>4</v>
      </c>
      <c r="I7" s="124">
        <f t="shared" si="2"/>
        <v>4</v>
      </c>
      <c r="J7" s="124">
        <f t="shared" si="3"/>
        <v>6</v>
      </c>
      <c r="K7" s="124">
        <f t="shared" si="4"/>
        <v>4</v>
      </c>
      <c r="L7" s="124">
        <f t="shared" si="5"/>
        <v>18</v>
      </c>
      <c r="M7" s="124">
        <f t="shared" si="6"/>
        <v>10</v>
      </c>
      <c r="N7" s="27"/>
      <c r="O7" s="48" t="s">
        <v>0</v>
      </c>
      <c r="P7" s="5" t="s">
        <v>8</v>
      </c>
      <c r="Q7"/>
      <c r="R7"/>
    </row>
    <row r="8" spans="3:22" x14ac:dyDescent="0.25">
      <c r="C8" s="127" t="s">
        <v>12</v>
      </c>
      <c r="D8" s="122" t="s">
        <v>49</v>
      </c>
      <c r="F8" s="123" t="s">
        <v>12</v>
      </c>
      <c r="G8" s="72" t="str">
        <f t="shared" si="0"/>
        <v>RODRIGO</v>
      </c>
      <c r="H8" s="124">
        <f t="shared" si="1"/>
        <v>4</v>
      </c>
      <c r="I8" s="124">
        <f t="shared" si="2"/>
        <v>5</v>
      </c>
      <c r="J8" s="124">
        <f t="shared" si="3"/>
        <v>6</v>
      </c>
      <c r="K8" s="124">
        <f t="shared" si="4"/>
        <v>4</v>
      </c>
      <c r="L8" s="124">
        <f t="shared" si="5"/>
        <v>19</v>
      </c>
      <c r="M8" s="124">
        <f t="shared" si="6"/>
        <v>9</v>
      </c>
      <c r="N8" s="27"/>
      <c r="O8" s="48" t="s">
        <v>27</v>
      </c>
      <c r="P8" s="5" t="s">
        <v>26</v>
      </c>
      <c r="Q8"/>
      <c r="R8"/>
    </row>
    <row r="9" spans="3:22" ht="15.75" thickBot="1" x14ac:dyDescent="0.3">
      <c r="C9" s="131" t="s">
        <v>3</v>
      </c>
      <c r="D9" s="132" t="s">
        <v>52</v>
      </c>
      <c r="F9" s="123" t="s">
        <v>3</v>
      </c>
      <c r="G9" s="72" t="str">
        <f>D9</f>
        <v>B.SELAYARAN</v>
      </c>
      <c r="H9" s="124">
        <f t="shared" si="1"/>
        <v>0</v>
      </c>
      <c r="I9" s="124">
        <f t="shared" si="2"/>
        <v>0</v>
      </c>
      <c r="J9" s="124">
        <f t="shared" si="3"/>
        <v>0</v>
      </c>
      <c r="K9" s="124">
        <f t="shared" si="4"/>
        <v>0</v>
      </c>
      <c r="L9" s="124">
        <f t="shared" si="5"/>
        <v>0</v>
      </c>
      <c r="M9" s="124">
        <f t="shared" si="6"/>
        <v>28</v>
      </c>
      <c r="N9" s="27"/>
      <c r="O9" s="48" t="s">
        <v>8</v>
      </c>
      <c r="P9" s="5" t="s">
        <v>27</v>
      </c>
      <c r="Q9"/>
      <c r="R9"/>
    </row>
    <row r="10" spans="3:22" ht="15.75" thickBot="1" x14ac:dyDescent="0.3">
      <c r="C10" s="118" t="s">
        <v>22</v>
      </c>
      <c r="D10" s="119">
        <v>2</v>
      </c>
      <c r="E10" s="27"/>
      <c r="F10" s="66" t="s">
        <v>10</v>
      </c>
      <c r="G10" s="77" t="str">
        <f t="shared" ref="G10:G16" si="7">D11</f>
        <v>VITORIA</v>
      </c>
      <c r="H10" s="116">
        <f>COUNTIF($C$26:$E$60,F10)</f>
        <v>4</v>
      </c>
      <c r="I10" s="116">
        <f>COUNTIF($G$26:$I$60,F10)</f>
        <v>4</v>
      </c>
      <c r="J10" s="116">
        <f>COUNTIF($O$26:$Q$60,F10)</f>
        <v>6</v>
      </c>
      <c r="K10" s="116">
        <f>COUNTIF($S$26:$U$60,F10)</f>
        <v>8</v>
      </c>
      <c r="L10" s="116">
        <f t="shared" si="5"/>
        <v>22</v>
      </c>
      <c r="M10" s="116">
        <f t="shared" si="6"/>
        <v>6</v>
      </c>
      <c r="N10" s="27"/>
      <c r="O10" s="48" t="s">
        <v>12</v>
      </c>
      <c r="P10" s="5" t="s">
        <v>1</v>
      </c>
      <c r="Q10"/>
      <c r="R10"/>
    </row>
    <row r="11" spans="3:22" x14ac:dyDescent="0.25">
      <c r="C11" s="133" t="s">
        <v>10</v>
      </c>
      <c r="D11" s="122" t="s">
        <v>132</v>
      </c>
      <c r="F11" s="66" t="s">
        <v>4</v>
      </c>
      <c r="G11" s="77" t="str">
        <f t="shared" si="7"/>
        <v>BRANCÃO</v>
      </c>
      <c r="H11" s="116">
        <f t="shared" ref="H11:H16" si="8">COUNTIF($C$26:$E$60,F11)</f>
        <v>7</v>
      </c>
      <c r="I11" s="116">
        <f t="shared" ref="I11:I16" si="9">COUNTIF($G$26:$I$60,F11)</f>
        <v>4</v>
      </c>
      <c r="J11" s="116">
        <f t="shared" ref="J11:J16" si="10">COUNTIF($O$26:$Q$60,F11)</f>
        <v>4</v>
      </c>
      <c r="K11" s="116">
        <f t="shared" ref="K11:K16" si="11">COUNTIF($S$26:$U$60,F11)</f>
        <v>8</v>
      </c>
      <c r="L11" s="116">
        <f t="shared" si="5"/>
        <v>23</v>
      </c>
      <c r="M11" s="116">
        <f t="shared" si="6"/>
        <v>5</v>
      </c>
      <c r="N11" s="6"/>
      <c r="O11"/>
      <c r="P11"/>
    </row>
    <row r="12" spans="3:22" x14ac:dyDescent="0.25">
      <c r="C12" s="134" t="s">
        <v>4</v>
      </c>
      <c r="D12" s="122" t="s">
        <v>51</v>
      </c>
      <c r="F12" s="66" t="s">
        <v>28</v>
      </c>
      <c r="G12" s="77" t="str">
        <f t="shared" si="7"/>
        <v>THAIS</v>
      </c>
      <c r="H12" s="116">
        <f t="shared" si="8"/>
        <v>7</v>
      </c>
      <c r="I12" s="116">
        <f t="shared" si="9"/>
        <v>6</v>
      </c>
      <c r="J12" s="116">
        <f t="shared" si="10"/>
        <v>4</v>
      </c>
      <c r="K12" s="116">
        <f t="shared" si="11"/>
        <v>4</v>
      </c>
      <c r="L12" s="116">
        <f t="shared" si="5"/>
        <v>21</v>
      </c>
      <c r="M12" s="116">
        <f t="shared" si="6"/>
        <v>7</v>
      </c>
      <c r="N12" s="6"/>
      <c r="O12" s="6"/>
      <c r="P12" s="6"/>
      <c r="Q12" s="6"/>
      <c r="R12" s="6"/>
      <c r="S12" s="6"/>
    </row>
    <row r="13" spans="3:22" x14ac:dyDescent="0.25">
      <c r="C13" s="134" t="s">
        <v>28</v>
      </c>
      <c r="D13" s="122" t="s">
        <v>67</v>
      </c>
      <c r="F13" s="66" t="s">
        <v>6</v>
      </c>
      <c r="G13" s="77" t="str">
        <f t="shared" si="7"/>
        <v>FELIPE</v>
      </c>
      <c r="H13" s="116">
        <f t="shared" si="8"/>
        <v>6</v>
      </c>
      <c r="I13" s="116">
        <f t="shared" si="9"/>
        <v>6</v>
      </c>
      <c r="J13" s="116">
        <f t="shared" si="10"/>
        <v>5</v>
      </c>
      <c r="K13" s="116">
        <f t="shared" si="11"/>
        <v>4</v>
      </c>
      <c r="L13" s="116">
        <f t="shared" si="5"/>
        <v>21</v>
      </c>
      <c r="M13" s="116">
        <f t="shared" si="6"/>
        <v>7</v>
      </c>
      <c r="N13" s="6"/>
      <c r="O13" s="6"/>
      <c r="P13" s="6"/>
      <c r="Q13" s="6"/>
      <c r="R13" s="6"/>
      <c r="S13" s="6"/>
    </row>
    <row r="14" spans="3:22" x14ac:dyDescent="0.25">
      <c r="C14" s="134" t="s">
        <v>6</v>
      </c>
      <c r="D14" s="122" t="s">
        <v>96</v>
      </c>
      <c r="F14" s="66" t="s">
        <v>59</v>
      </c>
      <c r="G14" s="77" t="str">
        <f t="shared" si="7"/>
        <v>GUILHERME</v>
      </c>
      <c r="H14" s="116">
        <f t="shared" si="8"/>
        <v>4</v>
      </c>
      <c r="I14" s="116">
        <f t="shared" si="9"/>
        <v>8</v>
      </c>
      <c r="J14" s="116">
        <f t="shared" si="10"/>
        <v>5</v>
      </c>
      <c r="K14" s="116">
        <f t="shared" si="11"/>
        <v>4</v>
      </c>
      <c r="L14" s="116">
        <f t="shared" si="5"/>
        <v>21</v>
      </c>
      <c r="M14" s="116">
        <f t="shared" si="6"/>
        <v>7</v>
      </c>
      <c r="N14" s="6"/>
      <c r="O14" s="6"/>
      <c r="P14" s="6"/>
      <c r="Q14" s="6"/>
      <c r="R14" s="6"/>
      <c r="S14" s="6"/>
      <c r="T14" s="6"/>
      <c r="U14" s="117"/>
      <c r="V14" s="17"/>
    </row>
    <row r="15" spans="3:22" x14ac:dyDescent="0.25">
      <c r="C15" s="134" t="s">
        <v>59</v>
      </c>
      <c r="D15" s="122" t="s">
        <v>133</v>
      </c>
      <c r="F15" s="66" t="s">
        <v>95</v>
      </c>
      <c r="G15" s="77" t="str">
        <f t="shared" si="7"/>
        <v>RICHER</v>
      </c>
      <c r="H15" s="116">
        <f t="shared" si="8"/>
        <v>0</v>
      </c>
      <c r="I15" s="116">
        <f t="shared" si="9"/>
        <v>0</v>
      </c>
      <c r="J15" s="116">
        <f t="shared" si="10"/>
        <v>4</v>
      </c>
      <c r="K15" s="116">
        <f t="shared" si="11"/>
        <v>0</v>
      </c>
      <c r="L15" s="116">
        <f t="shared" si="5"/>
        <v>4</v>
      </c>
      <c r="M15" s="116">
        <f t="shared" si="6"/>
        <v>24</v>
      </c>
      <c r="N15" s="6"/>
      <c r="O15" s="6"/>
      <c r="P15" s="6"/>
      <c r="Q15" s="6"/>
      <c r="R15" s="6"/>
      <c r="S15" s="6"/>
      <c r="T15" s="6"/>
      <c r="U15" s="117"/>
      <c r="V15" s="17"/>
    </row>
    <row r="16" spans="3:22" x14ac:dyDescent="0.25">
      <c r="C16" s="135" t="s">
        <v>95</v>
      </c>
      <c r="D16" s="122" t="s">
        <v>100</v>
      </c>
      <c r="F16" s="66" t="s">
        <v>99</v>
      </c>
      <c r="G16" s="77">
        <f t="shared" si="7"/>
        <v>0</v>
      </c>
      <c r="H16" s="116">
        <f t="shared" si="8"/>
        <v>0</v>
      </c>
      <c r="I16" s="116">
        <f t="shared" si="9"/>
        <v>0</v>
      </c>
      <c r="J16" s="116">
        <f t="shared" si="10"/>
        <v>0</v>
      </c>
      <c r="K16" s="116">
        <f t="shared" si="11"/>
        <v>0</v>
      </c>
      <c r="L16" s="116">
        <f t="shared" si="5"/>
        <v>0</v>
      </c>
      <c r="M16" s="116">
        <f t="shared" si="6"/>
        <v>28</v>
      </c>
      <c r="N16" s="6"/>
      <c r="O16" s="6"/>
      <c r="P16" s="6"/>
      <c r="Q16" s="6"/>
      <c r="R16" s="6"/>
      <c r="S16" s="6"/>
      <c r="T16" s="6"/>
      <c r="U16" s="117"/>
      <c r="V16" s="17"/>
    </row>
    <row r="17" spans="1:22" ht="15.75" thickBot="1" x14ac:dyDescent="0.3">
      <c r="C17" s="136" t="s">
        <v>99</v>
      </c>
      <c r="D17" s="137"/>
      <c r="F17" s="138" t="s">
        <v>62</v>
      </c>
      <c r="G17" s="79" t="str">
        <f>D21</f>
        <v>TONINHO</v>
      </c>
      <c r="H17" s="139" t="s">
        <v>68</v>
      </c>
      <c r="I17" s="139">
        <f>COUNTIF($G$26:$K$60,F17)</f>
        <v>4</v>
      </c>
      <c r="J17" s="139">
        <f>COUNTIF($M$26:$Q$61,F17)</f>
        <v>15</v>
      </c>
      <c r="K17" s="139" t="s">
        <v>68</v>
      </c>
      <c r="L17" s="139">
        <f t="shared" si="5"/>
        <v>19</v>
      </c>
      <c r="M17" s="139">
        <f t="shared" si="6"/>
        <v>9</v>
      </c>
      <c r="N17" s="6"/>
      <c r="O17" s="6"/>
      <c r="P17" s="6"/>
      <c r="Q17" s="6"/>
      <c r="R17" s="6"/>
      <c r="S17" s="6"/>
      <c r="T17" s="6"/>
      <c r="U17" s="117"/>
      <c r="V17" s="17"/>
    </row>
    <row r="18" spans="1:22" ht="15.75" thickBot="1" x14ac:dyDescent="0.3">
      <c r="C18" s="140" t="s">
        <v>19</v>
      </c>
      <c r="D18" s="141"/>
      <c r="E18" s="27"/>
      <c r="F18" s="138" t="s">
        <v>63</v>
      </c>
      <c r="G18" s="79" t="str">
        <f>D22</f>
        <v>CLEITON</v>
      </c>
      <c r="H18" s="139" t="s">
        <v>68</v>
      </c>
      <c r="I18" s="139">
        <f>COUNTIF($G$26:$K$60,F18)</f>
        <v>15</v>
      </c>
      <c r="J18" s="139">
        <f>COUNTIF($M$26:$Q$61,F18)</f>
        <v>4</v>
      </c>
      <c r="K18" s="139" t="s">
        <v>68</v>
      </c>
      <c r="L18" s="139">
        <f t="shared" si="5"/>
        <v>19</v>
      </c>
      <c r="M18" s="139">
        <f t="shared" si="6"/>
        <v>9</v>
      </c>
      <c r="N18" s="6"/>
      <c r="O18" s="6"/>
      <c r="P18" s="6"/>
      <c r="Q18" s="6"/>
      <c r="R18" s="6"/>
      <c r="S18" s="6"/>
      <c r="T18" s="6"/>
      <c r="U18" s="117"/>
      <c r="V18" s="17"/>
    </row>
    <row r="19" spans="1:22" ht="15.75" thickBot="1" x14ac:dyDescent="0.3">
      <c r="C19" s="142" t="s">
        <v>66</v>
      </c>
      <c r="D19" s="143"/>
      <c r="E19" s="27"/>
      <c r="F19" s="27"/>
      <c r="G19" s="27"/>
      <c r="H19" s="27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117"/>
      <c r="V19" s="17"/>
    </row>
    <row r="20" spans="1:22" ht="15.75" thickBot="1" x14ac:dyDescent="0.3">
      <c r="C20" s="140" t="s">
        <v>24</v>
      </c>
      <c r="D20" s="144"/>
      <c r="E20" s="27"/>
      <c r="F20" s="27"/>
      <c r="G20" s="27"/>
      <c r="H20" s="27"/>
      <c r="I20" s="6"/>
      <c r="J20" s="6"/>
      <c r="K20" s="6"/>
      <c r="L20" s="6"/>
      <c r="M20" s="6" t="s">
        <v>97</v>
      </c>
      <c r="N20" s="6"/>
      <c r="O20" s="6"/>
      <c r="P20" s="6"/>
      <c r="Q20" s="6"/>
      <c r="R20" s="6"/>
      <c r="S20" s="6"/>
      <c r="T20" s="6"/>
      <c r="U20" s="117"/>
      <c r="V20" s="17"/>
    </row>
    <row r="21" spans="1:22" x14ac:dyDescent="0.25">
      <c r="C21" s="145" t="s">
        <v>62</v>
      </c>
      <c r="D21" s="146" t="s">
        <v>64</v>
      </c>
      <c r="E21" s="27"/>
      <c r="F21" s="27"/>
      <c r="G21" s="27"/>
      <c r="H21" s="27"/>
      <c r="I21" s="6"/>
      <c r="J21" s="6"/>
      <c r="K21" s="6"/>
      <c r="L21" s="6"/>
      <c r="M21" s="6">
        <v>28</v>
      </c>
      <c r="N21" s="6"/>
      <c r="O21" s="6"/>
      <c r="P21" s="6"/>
      <c r="Q21" s="6"/>
      <c r="R21" s="6"/>
      <c r="S21" s="6"/>
      <c r="T21" s="6"/>
      <c r="U21" s="117"/>
      <c r="V21" s="17"/>
    </row>
    <row r="22" spans="1:22" ht="15.75" thickBot="1" x14ac:dyDescent="0.3">
      <c r="C22" s="147" t="s">
        <v>63</v>
      </c>
      <c r="D22" s="148" t="s">
        <v>65</v>
      </c>
      <c r="E22" s="27"/>
      <c r="F22" s="27"/>
      <c r="G22" s="27"/>
      <c r="H22" s="27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117"/>
      <c r="V22" s="17"/>
    </row>
    <row r="23" spans="1:22" x14ac:dyDescent="0.25">
      <c r="C23" s="125"/>
      <c r="D23" s="125"/>
      <c r="E23" s="27"/>
      <c r="F23" s="27"/>
      <c r="G23" s="27"/>
      <c r="H23" s="27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117"/>
      <c r="V23" s="17"/>
    </row>
    <row r="24" spans="1:22" x14ac:dyDescent="0.25">
      <c r="C24" s="125"/>
      <c r="D24" s="125"/>
      <c r="E24" s="27"/>
      <c r="F24" s="27"/>
      <c r="G24" s="27"/>
      <c r="H24" s="27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117"/>
      <c r="V24" s="17"/>
    </row>
    <row r="25" spans="1:22" x14ac:dyDescent="0.25">
      <c r="A25" s="149"/>
      <c r="B25" s="149"/>
      <c r="C25" s="150" t="s">
        <v>29</v>
      </c>
      <c r="D25" s="150" t="s">
        <v>41</v>
      </c>
      <c r="E25" s="150" t="s">
        <v>29</v>
      </c>
      <c r="F25" s="150" t="s">
        <v>41</v>
      </c>
      <c r="G25" s="150" t="s">
        <v>30</v>
      </c>
      <c r="H25" s="150" t="s">
        <v>41</v>
      </c>
      <c r="I25" s="150" t="s">
        <v>30</v>
      </c>
      <c r="J25" s="150" t="s">
        <v>41</v>
      </c>
      <c r="K25" s="150" t="s">
        <v>61</v>
      </c>
      <c r="L25" s="150" t="s">
        <v>41</v>
      </c>
      <c r="M25" s="150" t="s">
        <v>61</v>
      </c>
      <c r="N25" s="150" t="s">
        <v>41</v>
      </c>
      <c r="O25" s="151" t="s">
        <v>31</v>
      </c>
      <c r="P25" s="150" t="s">
        <v>41</v>
      </c>
      <c r="Q25" s="151" t="s">
        <v>31</v>
      </c>
      <c r="R25" s="150" t="s">
        <v>41</v>
      </c>
      <c r="S25" s="151" t="s">
        <v>40</v>
      </c>
      <c r="T25" s="150" t="s">
        <v>41</v>
      </c>
      <c r="U25" s="151" t="s">
        <v>40</v>
      </c>
      <c r="V25" s="150" t="s">
        <v>41</v>
      </c>
    </row>
    <row r="26" spans="1:22" s="152" customFormat="1" ht="15.75" x14ac:dyDescent="0.25">
      <c r="A26" s="86">
        <v>46054</v>
      </c>
      <c r="B26" s="68"/>
      <c r="C26" s="94" t="s">
        <v>1</v>
      </c>
      <c r="D26" s="85" t="str">
        <f t="shared" ref="D26:D56" si="12">VLOOKUP(C26,$C$3:$D$25,2,FALSE)</f>
        <v>B.MACHADO</v>
      </c>
      <c r="E26" s="95" t="s">
        <v>4</v>
      </c>
      <c r="F26" s="83" t="str">
        <f t="shared" ref="F26:F56" si="13">VLOOKUP(E26,$C$3:$D$22,2,FALSE)</f>
        <v>BRANCÃO</v>
      </c>
      <c r="G26" s="94" t="s">
        <v>135</v>
      </c>
      <c r="H26" s="83" t="str">
        <f t="shared" ref="H26:H56" si="14">VLOOKUP(G26,$C$3:$D$25,2,FALSE)</f>
        <v>RODRIGO</v>
      </c>
      <c r="I26" s="95" t="s">
        <v>28</v>
      </c>
      <c r="J26" s="83" t="str">
        <f t="shared" ref="J26:J56" si="15">VLOOKUP(I26,$C$3:$D$22,2,FALSE)</f>
        <v>THAIS</v>
      </c>
      <c r="K26" s="80"/>
      <c r="L26" s="84" t="e">
        <f t="shared" ref="L26:L56" si="16">VLOOKUP(K26,$C$3:$D$22,2,FALSE)</f>
        <v>#N/A</v>
      </c>
      <c r="M26" s="80"/>
      <c r="N26" s="69" t="e">
        <f t="shared" ref="N26:N56" si="17">VLOOKUP(M26,$C$3:$D$22,2,FALSE)</f>
        <v>#N/A</v>
      </c>
      <c r="O26" s="94" t="s">
        <v>8</v>
      </c>
      <c r="P26" s="85" t="str">
        <f t="shared" ref="P26:P56" si="18">VLOOKUP(O26,$C$3:$D$25,2,FALSE)</f>
        <v>B.HORNES</v>
      </c>
      <c r="Q26" s="95" t="s">
        <v>6</v>
      </c>
      <c r="R26" s="83" t="str">
        <f t="shared" ref="R26:R56" si="19">VLOOKUP(Q26,$C$3:$D$22,2,FALSE)</f>
        <v>FELIPE</v>
      </c>
      <c r="S26" s="96" t="s">
        <v>26</v>
      </c>
      <c r="T26" s="85" t="str">
        <f t="shared" ref="T26:T56" si="20">VLOOKUP(S26,$C$3:$D$25,2,FALSE)</f>
        <v>ALLAN</v>
      </c>
      <c r="U26" s="97" t="s">
        <v>10</v>
      </c>
      <c r="V26" s="85" t="str">
        <f t="shared" ref="V26:V56" si="21">VLOOKUP(U26,$C$3:$D$22,2,FALSE)</f>
        <v>VITORIA</v>
      </c>
    </row>
    <row r="27" spans="1:22" ht="15.75" x14ac:dyDescent="0.25">
      <c r="A27" s="86">
        <f>A26+1</f>
        <v>46055</v>
      </c>
      <c r="B27" s="68"/>
      <c r="C27" s="94" t="s">
        <v>1</v>
      </c>
      <c r="D27" s="85" t="str">
        <f t="shared" si="12"/>
        <v>B.MACHADO</v>
      </c>
      <c r="E27" s="95" t="s">
        <v>4</v>
      </c>
      <c r="F27" s="85" t="str">
        <f t="shared" si="13"/>
        <v>BRANCÃO</v>
      </c>
      <c r="G27" s="94" t="s">
        <v>27</v>
      </c>
      <c r="H27" s="85" t="str">
        <f t="shared" si="14"/>
        <v>MARCO</v>
      </c>
      <c r="I27" s="95" t="s">
        <v>28</v>
      </c>
      <c r="J27" s="85" t="str">
        <f t="shared" si="15"/>
        <v>THAIS</v>
      </c>
      <c r="K27" s="80"/>
      <c r="L27" s="84" t="e">
        <f t="shared" si="16"/>
        <v>#N/A</v>
      </c>
      <c r="M27" s="80"/>
      <c r="N27" s="69" t="e">
        <f t="shared" si="17"/>
        <v>#N/A</v>
      </c>
      <c r="O27" s="94" t="s">
        <v>8</v>
      </c>
      <c r="P27" s="85" t="str">
        <f t="shared" si="18"/>
        <v>B.HORNES</v>
      </c>
      <c r="Q27" s="95" t="s">
        <v>59</v>
      </c>
      <c r="R27" s="85" t="str">
        <f t="shared" si="19"/>
        <v>GUILHERME</v>
      </c>
      <c r="S27" s="96" t="s">
        <v>26</v>
      </c>
      <c r="T27" s="85" t="str">
        <f t="shared" si="20"/>
        <v>ALLAN</v>
      </c>
      <c r="U27" s="97" t="s">
        <v>10</v>
      </c>
      <c r="V27" s="85" t="str">
        <f t="shared" si="21"/>
        <v>VITORIA</v>
      </c>
    </row>
    <row r="28" spans="1:22" ht="15.75" x14ac:dyDescent="0.25">
      <c r="A28" s="86">
        <f t="shared" ref="A28:A56" si="22">A27+1</f>
        <v>46056</v>
      </c>
      <c r="B28" s="68"/>
      <c r="C28" s="94" t="s">
        <v>0</v>
      </c>
      <c r="D28" s="85" t="str">
        <f t="shared" si="12"/>
        <v>EDUARDO</v>
      </c>
      <c r="E28" s="95" t="s">
        <v>4</v>
      </c>
      <c r="F28" s="85" t="str">
        <f t="shared" si="13"/>
        <v>BRANCÃO</v>
      </c>
      <c r="G28" s="94" t="s">
        <v>27</v>
      </c>
      <c r="H28" s="85" t="str">
        <f t="shared" si="14"/>
        <v>MARCO</v>
      </c>
      <c r="I28" s="95" t="s">
        <v>6</v>
      </c>
      <c r="J28" s="85" t="str">
        <f t="shared" si="15"/>
        <v>FELIPE</v>
      </c>
      <c r="K28" s="80" t="s">
        <v>139</v>
      </c>
      <c r="L28" s="84" t="str">
        <f t="shared" si="16"/>
        <v>CLEITON</v>
      </c>
      <c r="M28" s="80" t="s">
        <v>140</v>
      </c>
      <c r="N28" s="69" t="str">
        <f t="shared" si="17"/>
        <v>TONINHO</v>
      </c>
      <c r="O28" s="94" t="s">
        <v>12</v>
      </c>
      <c r="P28" s="85" t="str">
        <f t="shared" si="18"/>
        <v>RODRIGO</v>
      </c>
      <c r="Q28" s="95" t="s">
        <v>59</v>
      </c>
      <c r="R28" s="85" t="str">
        <f t="shared" si="19"/>
        <v>GUILHERME</v>
      </c>
      <c r="S28" s="96" t="s">
        <v>26</v>
      </c>
      <c r="T28" s="85" t="str">
        <f t="shared" si="20"/>
        <v>ALLAN</v>
      </c>
      <c r="U28" s="97" t="s">
        <v>10</v>
      </c>
      <c r="V28" s="85" t="str">
        <f t="shared" si="21"/>
        <v>VITORIA</v>
      </c>
    </row>
    <row r="29" spans="1:22" ht="15.75" x14ac:dyDescent="0.25">
      <c r="A29" s="86">
        <f t="shared" si="22"/>
        <v>46057</v>
      </c>
      <c r="B29" s="68"/>
      <c r="C29" s="94" t="s">
        <v>0</v>
      </c>
      <c r="D29" s="85" t="str">
        <f t="shared" si="12"/>
        <v>EDUARDO</v>
      </c>
      <c r="E29" s="95" t="s">
        <v>28</v>
      </c>
      <c r="F29" s="85" t="str">
        <f t="shared" si="13"/>
        <v>THAIS</v>
      </c>
      <c r="G29" s="94" t="s">
        <v>27</v>
      </c>
      <c r="H29" s="85" t="str">
        <f t="shared" si="14"/>
        <v>MARCO</v>
      </c>
      <c r="I29" s="95" t="s">
        <v>6</v>
      </c>
      <c r="J29" s="85" t="str">
        <f t="shared" si="15"/>
        <v>FELIPE</v>
      </c>
      <c r="K29" s="81" t="s">
        <v>139</v>
      </c>
      <c r="L29" s="84" t="str">
        <f t="shared" si="16"/>
        <v>CLEITON</v>
      </c>
      <c r="M29" s="81" t="s">
        <v>140</v>
      </c>
      <c r="N29" s="69" t="str">
        <f t="shared" si="17"/>
        <v>TONINHO</v>
      </c>
      <c r="O29" s="94" t="s">
        <v>12</v>
      </c>
      <c r="P29" s="85" t="str">
        <f t="shared" si="18"/>
        <v>RODRIGO</v>
      </c>
      <c r="Q29" s="95" t="s">
        <v>59</v>
      </c>
      <c r="R29" s="85" t="str">
        <f t="shared" si="19"/>
        <v>GUILHERME</v>
      </c>
      <c r="S29" s="96" t="s">
        <v>26</v>
      </c>
      <c r="T29" s="85" t="str">
        <f t="shared" si="20"/>
        <v>ALLAN</v>
      </c>
      <c r="U29" s="97" t="s">
        <v>10</v>
      </c>
      <c r="V29" s="85" t="str">
        <f t="shared" si="21"/>
        <v>VITORIA</v>
      </c>
    </row>
    <row r="30" spans="1:22" ht="15.75" x14ac:dyDescent="0.25">
      <c r="A30" s="86">
        <f t="shared" si="22"/>
        <v>46058</v>
      </c>
      <c r="B30" s="68"/>
      <c r="C30" s="94" t="s">
        <v>0</v>
      </c>
      <c r="D30" s="85" t="str">
        <f t="shared" si="12"/>
        <v>EDUARDO</v>
      </c>
      <c r="E30" s="95" t="s">
        <v>28</v>
      </c>
      <c r="F30" s="85" t="str">
        <f t="shared" si="13"/>
        <v>THAIS</v>
      </c>
      <c r="G30" s="94" t="s">
        <v>8</v>
      </c>
      <c r="H30" s="85" t="str">
        <f t="shared" si="14"/>
        <v>B.HORNES</v>
      </c>
      <c r="I30" s="95" t="s">
        <v>6</v>
      </c>
      <c r="J30" s="85" t="str">
        <f t="shared" si="15"/>
        <v>FELIPE</v>
      </c>
      <c r="K30" s="80" t="s">
        <v>139</v>
      </c>
      <c r="L30" s="84" t="str">
        <f t="shared" si="16"/>
        <v>CLEITON</v>
      </c>
      <c r="M30" s="80" t="s">
        <v>140</v>
      </c>
      <c r="N30" s="69" t="str">
        <f t="shared" si="17"/>
        <v>TONINHO</v>
      </c>
      <c r="O30" s="94" t="s">
        <v>12</v>
      </c>
      <c r="P30" s="85" t="str">
        <f t="shared" si="18"/>
        <v>RODRIGO</v>
      </c>
      <c r="Q30" s="95" t="s">
        <v>59</v>
      </c>
      <c r="R30" s="85" t="str">
        <f t="shared" si="19"/>
        <v>GUILHERME</v>
      </c>
      <c r="S30" s="96" t="s">
        <v>1</v>
      </c>
      <c r="T30" s="85" t="str">
        <f t="shared" si="20"/>
        <v>B.MACHADO</v>
      </c>
      <c r="U30" s="97" t="s">
        <v>4</v>
      </c>
      <c r="V30" s="85" t="str">
        <f t="shared" si="21"/>
        <v>BRANCÃO</v>
      </c>
    </row>
    <row r="31" spans="1:22" ht="15.75" x14ac:dyDescent="0.25">
      <c r="A31" s="86">
        <f t="shared" si="22"/>
        <v>46059</v>
      </c>
      <c r="B31" s="68"/>
      <c r="C31" s="94" t="s">
        <v>0</v>
      </c>
      <c r="D31" s="85" t="str">
        <f t="shared" si="12"/>
        <v>EDUARDO</v>
      </c>
      <c r="E31" s="95" t="s">
        <v>28</v>
      </c>
      <c r="F31" s="85" t="str">
        <f t="shared" si="13"/>
        <v>THAIS</v>
      </c>
      <c r="G31" s="94" t="s">
        <v>8</v>
      </c>
      <c r="H31" s="85" t="str">
        <f t="shared" si="14"/>
        <v>B.HORNES</v>
      </c>
      <c r="I31" s="95" t="s">
        <v>6</v>
      </c>
      <c r="J31" s="85" t="str">
        <f t="shared" si="15"/>
        <v>FELIPE</v>
      </c>
      <c r="K31" s="81" t="s">
        <v>140</v>
      </c>
      <c r="L31" s="84" t="str">
        <f t="shared" si="16"/>
        <v>TONINHO</v>
      </c>
      <c r="M31" s="81" t="s">
        <v>139</v>
      </c>
      <c r="N31" s="69" t="str">
        <f t="shared" si="17"/>
        <v>CLEITON</v>
      </c>
      <c r="O31" s="94" t="s">
        <v>12</v>
      </c>
      <c r="P31" s="85" t="str">
        <f t="shared" si="18"/>
        <v>RODRIGO</v>
      </c>
      <c r="Q31" s="95" t="s">
        <v>10</v>
      </c>
      <c r="R31" s="85" t="str">
        <f t="shared" si="19"/>
        <v>VITORIA</v>
      </c>
      <c r="S31" s="96" t="s">
        <v>1</v>
      </c>
      <c r="T31" s="85" t="str">
        <f t="shared" si="20"/>
        <v>B.MACHADO</v>
      </c>
      <c r="U31" s="97" t="s">
        <v>4</v>
      </c>
      <c r="V31" s="85" t="str">
        <f t="shared" si="21"/>
        <v>BRANCÃO</v>
      </c>
    </row>
    <row r="32" spans="1:22" ht="15.75" x14ac:dyDescent="0.25">
      <c r="A32" s="86">
        <f t="shared" si="22"/>
        <v>46060</v>
      </c>
      <c r="B32" s="68"/>
      <c r="C32" s="94" t="s">
        <v>27</v>
      </c>
      <c r="D32" s="85" t="str">
        <f t="shared" si="12"/>
        <v>MARCO</v>
      </c>
      <c r="E32" s="95" t="s">
        <v>28</v>
      </c>
      <c r="F32" s="85" t="str">
        <f t="shared" si="13"/>
        <v>THAIS</v>
      </c>
      <c r="G32" s="94" t="s">
        <v>8</v>
      </c>
      <c r="H32" s="174" t="str">
        <f t="shared" si="14"/>
        <v>B.HORNES</v>
      </c>
      <c r="I32" s="95" t="s">
        <v>59</v>
      </c>
      <c r="J32" s="85" t="str">
        <f t="shared" si="15"/>
        <v>GUILHERME</v>
      </c>
      <c r="K32" s="80"/>
      <c r="L32" s="84" t="e">
        <f t="shared" si="16"/>
        <v>#N/A</v>
      </c>
      <c r="M32" s="80"/>
      <c r="N32" s="69" t="e">
        <f t="shared" si="17"/>
        <v>#N/A</v>
      </c>
      <c r="O32" s="94" t="s">
        <v>26</v>
      </c>
      <c r="P32" s="85" t="str">
        <f t="shared" si="18"/>
        <v>ALLAN</v>
      </c>
      <c r="Q32" s="95" t="s">
        <v>10</v>
      </c>
      <c r="R32" s="85" t="str">
        <f t="shared" si="19"/>
        <v>VITORIA</v>
      </c>
      <c r="S32" s="96" t="s">
        <v>1</v>
      </c>
      <c r="T32" s="85" t="str">
        <f t="shared" si="20"/>
        <v>B.MACHADO</v>
      </c>
      <c r="U32" s="97" t="s">
        <v>4</v>
      </c>
      <c r="V32" s="85" t="str">
        <f t="shared" si="21"/>
        <v>BRANCÃO</v>
      </c>
    </row>
    <row r="33" spans="1:22" ht="15.75" x14ac:dyDescent="0.25">
      <c r="A33" s="86">
        <f t="shared" si="22"/>
        <v>46061</v>
      </c>
      <c r="B33" s="68"/>
      <c r="C33" s="94" t="s">
        <v>27</v>
      </c>
      <c r="D33" s="85" t="str">
        <f t="shared" si="12"/>
        <v>MARCO</v>
      </c>
      <c r="E33" s="95" t="s">
        <v>6</v>
      </c>
      <c r="F33" s="85" t="str">
        <f t="shared" si="13"/>
        <v>FELIPE</v>
      </c>
      <c r="G33" s="94" t="s">
        <v>8</v>
      </c>
      <c r="H33" s="174" t="str">
        <f t="shared" si="14"/>
        <v>B.HORNES</v>
      </c>
      <c r="I33" s="95" t="s">
        <v>59</v>
      </c>
      <c r="J33" s="85" t="str">
        <f t="shared" si="15"/>
        <v>GUILHERME</v>
      </c>
      <c r="K33" s="80"/>
      <c r="L33" s="84" t="e">
        <f t="shared" si="16"/>
        <v>#N/A</v>
      </c>
      <c r="M33" s="80"/>
      <c r="N33" s="69" t="e">
        <f t="shared" si="17"/>
        <v>#N/A</v>
      </c>
      <c r="O33" s="94" t="s">
        <v>26</v>
      </c>
      <c r="P33" s="85" t="str">
        <f t="shared" si="18"/>
        <v>ALLAN</v>
      </c>
      <c r="Q33" s="95" t="s">
        <v>10</v>
      </c>
      <c r="R33" s="85" t="str">
        <f t="shared" si="19"/>
        <v>VITORIA</v>
      </c>
      <c r="S33" s="96" t="s">
        <v>1</v>
      </c>
      <c r="T33" s="85" t="str">
        <f t="shared" si="20"/>
        <v>B.MACHADO</v>
      </c>
      <c r="U33" s="97" t="s">
        <v>4</v>
      </c>
      <c r="V33" s="85" t="str">
        <f t="shared" si="21"/>
        <v>BRANCÃO</v>
      </c>
    </row>
    <row r="34" spans="1:22" ht="15.75" x14ac:dyDescent="0.25">
      <c r="A34" s="86">
        <f t="shared" si="22"/>
        <v>46062</v>
      </c>
      <c r="B34" s="70"/>
      <c r="C34" s="94" t="s">
        <v>27</v>
      </c>
      <c r="D34" s="85" t="str">
        <f t="shared" si="12"/>
        <v>MARCO</v>
      </c>
      <c r="E34" s="95" t="s">
        <v>6</v>
      </c>
      <c r="F34" s="85" t="str">
        <f t="shared" si="13"/>
        <v>FELIPE</v>
      </c>
      <c r="G34" s="94" t="s">
        <v>12</v>
      </c>
      <c r="H34" s="174" t="str">
        <f t="shared" si="14"/>
        <v>RODRIGO</v>
      </c>
      <c r="I34" s="95" t="s">
        <v>59</v>
      </c>
      <c r="J34" s="85" t="str">
        <f t="shared" si="15"/>
        <v>GUILHERME</v>
      </c>
      <c r="K34" s="80" t="s">
        <v>139</v>
      </c>
      <c r="L34" s="84" t="str">
        <f t="shared" si="16"/>
        <v>CLEITON</v>
      </c>
      <c r="M34" s="80" t="s">
        <v>140</v>
      </c>
      <c r="N34" s="69" t="str">
        <f t="shared" si="17"/>
        <v>TONINHO</v>
      </c>
      <c r="O34" s="94" t="s">
        <v>26</v>
      </c>
      <c r="P34" s="85" t="str">
        <f t="shared" si="18"/>
        <v>ALLAN</v>
      </c>
      <c r="Q34" s="95" t="s">
        <v>10</v>
      </c>
      <c r="R34" s="85" t="str">
        <f t="shared" si="19"/>
        <v>VITORIA</v>
      </c>
      <c r="S34" s="96" t="s">
        <v>0</v>
      </c>
      <c r="T34" s="85" t="str">
        <f t="shared" si="20"/>
        <v>EDUARDO</v>
      </c>
      <c r="U34" s="97" t="s">
        <v>28</v>
      </c>
      <c r="V34" s="85" t="str">
        <f t="shared" si="21"/>
        <v>THAIS</v>
      </c>
    </row>
    <row r="35" spans="1:22" s="157" customFormat="1" ht="15.75" x14ac:dyDescent="0.25">
      <c r="A35" s="86">
        <f t="shared" si="22"/>
        <v>46063</v>
      </c>
      <c r="B35" s="70"/>
      <c r="C35" s="94" t="s">
        <v>27</v>
      </c>
      <c r="D35" s="85" t="str">
        <f t="shared" si="12"/>
        <v>MARCO</v>
      </c>
      <c r="E35" s="95" t="s">
        <v>6</v>
      </c>
      <c r="F35" s="85" t="str">
        <f t="shared" si="13"/>
        <v>FELIPE</v>
      </c>
      <c r="G35" s="94" t="s">
        <v>12</v>
      </c>
      <c r="H35" s="174" t="str">
        <f t="shared" si="14"/>
        <v>RODRIGO</v>
      </c>
      <c r="I35" s="95" t="s">
        <v>59</v>
      </c>
      <c r="J35" s="85" t="str">
        <f t="shared" si="15"/>
        <v>GUILHERME</v>
      </c>
      <c r="K35" s="80" t="s">
        <v>139</v>
      </c>
      <c r="L35" s="84" t="str">
        <f t="shared" si="16"/>
        <v>CLEITON</v>
      </c>
      <c r="M35" s="80" t="s">
        <v>140</v>
      </c>
      <c r="N35" s="69" t="str">
        <f t="shared" si="17"/>
        <v>TONINHO</v>
      </c>
      <c r="O35" s="94" t="s">
        <v>26</v>
      </c>
      <c r="P35" s="85" t="str">
        <f t="shared" si="18"/>
        <v>ALLAN</v>
      </c>
      <c r="Q35" s="97" t="s">
        <v>4</v>
      </c>
      <c r="R35" s="85" t="str">
        <f t="shared" si="19"/>
        <v>BRANCÃO</v>
      </c>
      <c r="S35" s="96" t="s">
        <v>0</v>
      </c>
      <c r="T35" s="174" t="str">
        <f t="shared" si="20"/>
        <v>EDUARDO</v>
      </c>
      <c r="U35" s="97" t="s">
        <v>28</v>
      </c>
      <c r="V35" s="85" t="str">
        <f t="shared" si="21"/>
        <v>THAIS</v>
      </c>
    </row>
    <row r="36" spans="1:22" ht="15.75" x14ac:dyDescent="0.25">
      <c r="A36" s="86">
        <f t="shared" si="22"/>
        <v>46064</v>
      </c>
      <c r="B36" s="68"/>
      <c r="C36" s="94" t="s">
        <v>8</v>
      </c>
      <c r="D36" s="85" t="str">
        <f t="shared" si="12"/>
        <v>B.HORNES</v>
      </c>
      <c r="E36" s="95" t="s">
        <v>6</v>
      </c>
      <c r="F36" s="85" t="str">
        <f t="shared" si="13"/>
        <v>FELIPE</v>
      </c>
      <c r="G36" s="94" t="s">
        <v>12</v>
      </c>
      <c r="H36" s="174" t="str">
        <f t="shared" si="14"/>
        <v>RODRIGO</v>
      </c>
      <c r="I36" s="95" t="s">
        <v>10</v>
      </c>
      <c r="J36" s="85" t="str">
        <f t="shared" si="15"/>
        <v>VITORIA</v>
      </c>
      <c r="K36" s="81" t="s">
        <v>139</v>
      </c>
      <c r="L36" s="84" t="str">
        <f t="shared" si="16"/>
        <v>CLEITON</v>
      </c>
      <c r="M36" s="81" t="s">
        <v>140</v>
      </c>
      <c r="N36" s="69" t="str">
        <f t="shared" si="17"/>
        <v>TONINHO</v>
      </c>
      <c r="O36" s="94" t="s">
        <v>1</v>
      </c>
      <c r="P36" s="85" t="str">
        <f t="shared" si="18"/>
        <v>B.MACHADO</v>
      </c>
      <c r="Q36" s="97" t="s">
        <v>4</v>
      </c>
      <c r="R36" s="85" t="str">
        <f t="shared" si="19"/>
        <v>BRANCÃO</v>
      </c>
      <c r="S36" s="96" t="s">
        <v>0</v>
      </c>
      <c r="T36" s="85" t="str">
        <f t="shared" si="20"/>
        <v>EDUARDO</v>
      </c>
      <c r="U36" s="97" t="s">
        <v>28</v>
      </c>
      <c r="V36" s="85" t="str">
        <f t="shared" si="21"/>
        <v>THAIS</v>
      </c>
    </row>
    <row r="37" spans="1:22" ht="15.75" x14ac:dyDescent="0.25">
      <c r="A37" s="86">
        <f t="shared" si="22"/>
        <v>46065</v>
      </c>
      <c r="B37" s="68"/>
      <c r="C37" s="94" t="s">
        <v>8</v>
      </c>
      <c r="D37" s="85" t="str">
        <f t="shared" si="12"/>
        <v>B.HORNES</v>
      </c>
      <c r="E37" s="95" t="s">
        <v>59</v>
      </c>
      <c r="F37" s="85" t="str">
        <f t="shared" si="13"/>
        <v>GUILHERME</v>
      </c>
      <c r="G37" s="94" t="s">
        <v>12</v>
      </c>
      <c r="H37" s="174" t="str">
        <f t="shared" si="14"/>
        <v>RODRIGO</v>
      </c>
      <c r="I37" s="95" t="s">
        <v>10</v>
      </c>
      <c r="J37" s="85" t="str">
        <f t="shared" si="15"/>
        <v>VITORIA</v>
      </c>
      <c r="K37" s="80" t="s">
        <v>139</v>
      </c>
      <c r="L37" s="84" t="str">
        <f t="shared" si="16"/>
        <v>CLEITON</v>
      </c>
      <c r="M37" s="80" t="s">
        <v>140</v>
      </c>
      <c r="N37" s="69" t="str">
        <f t="shared" si="17"/>
        <v>TONINHO</v>
      </c>
      <c r="O37" s="94" t="s">
        <v>1</v>
      </c>
      <c r="P37" s="85" t="str">
        <f t="shared" si="18"/>
        <v>B.MACHADO</v>
      </c>
      <c r="Q37" s="97" t="s">
        <v>4</v>
      </c>
      <c r="R37" s="85" t="str">
        <f t="shared" si="19"/>
        <v>BRANCÃO</v>
      </c>
      <c r="S37" s="96" t="s">
        <v>0</v>
      </c>
      <c r="T37" s="85" t="str">
        <f t="shared" si="20"/>
        <v>EDUARDO</v>
      </c>
      <c r="U37" s="97" t="s">
        <v>28</v>
      </c>
      <c r="V37" s="85" t="str">
        <f t="shared" si="21"/>
        <v>THAIS</v>
      </c>
    </row>
    <row r="38" spans="1:22" ht="15.75" x14ac:dyDescent="0.25">
      <c r="A38" s="86">
        <f t="shared" si="22"/>
        <v>46066</v>
      </c>
      <c r="B38" s="68"/>
      <c r="C38" s="94" t="s">
        <v>8</v>
      </c>
      <c r="D38" s="85" t="str">
        <f t="shared" si="12"/>
        <v>B.HORNES</v>
      </c>
      <c r="E38" s="95" t="s">
        <v>59</v>
      </c>
      <c r="F38" s="85" t="str">
        <f t="shared" si="13"/>
        <v>GUILHERME</v>
      </c>
      <c r="G38" s="94" t="s">
        <v>26</v>
      </c>
      <c r="H38" s="174" t="str">
        <f t="shared" si="14"/>
        <v>ALLAN</v>
      </c>
      <c r="I38" s="95" t="s">
        <v>10</v>
      </c>
      <c r="J38" s="85" t="str">
        <f t="shared" si="15"/>
        <v>VITORIA</v>
      </c>
      <c r="K38" s="81" t="s">
        <v>140</v>
      </c>
      <c r="L38" s="84" t="str">
        <f t="shared" si="16"/>
        <v>TONINHO</v>
      </c>
      <c r="M38" s="81" t="s">
        <v>139</v>
      </c>
      <c r="N38" s="69" t="str">
        <f t="shared" si="17"/>
        <v>CLEITON</v>
      </c>
      <c r="O38" s="94" t="s">
        <v>1</v>
      </c>
      <c r="P38" s="85" t="str">
        <f t="shared" si="18"/>
        <v>B.MACHADO</v>
      </c>
      <c r="Q38" s="97" t="s">
        <v>4</v>
      </c>
      <c r="R38" s="85" t="str">
        <f t="shared" si="19"/>
        <v>BRANCÃO</v>
      </c>
      <c r="S38" s="96" t="s">
        <v>27</v>
      </c>
      <c r="T38" s="85" t="str">
        <f t="shared" si="20"/>
        <v>MARCO</v>
      </c>
      <c r="U38" s="97" t="s">
        <v>6</v>
      </c>
      <c r="V38" s="85" t="str">
        <f t="shared" si="21"/>
        <v>FELIPE</v>
      </c>
    </row>
    <row r="39" spans="1:22" ht="15.75" x14ac:dyDescent="0.25">
      <c r="A39" s="86">
        <f t="shared" si="22"/>
        <v>46067</v>
      </c>
      <c r="B39" s="68"/>
      <c r="C39" s="94" t="s">
        <v>8</v>
      </c>
      <c r="D39" s="85" t="str">
        <f t="shared" si="12"/>
        <v>B.HORNES</v>
      </c>
      <c r="E39" s="95" t="s">
        <v>59</v>
      </c>
      <c r="F39" s="85" t="str">
        <f t="shared" si="13"/>
        <v>GUILHERME</v>
      </c>
      <c r="G39" s="94" t="s">
        <v>26</v>
      </c>
      <c r="H39" s="174" t="str">
        <f t="shared" si="14"/>
        <v>ALLAN</v>
      </c>
      <c r="I39" s="95" t="s">
        <v>10</v>
      </c>
      <c r="J39" s="85" t="str">
        <f t="shared" si="15"/>
        <v>VITORIA</v>
      </c>
      <c r="K39" s="80"/>
      <c r="L39" s="84" t="e">
        <f t="shared" si="16"/>
        <v>#N/A</v>
      </c>
      <c r="M39" s="80"/>
      <c r="N39" s="69" t="e">
        <f t="shared" si="17"/>
        <v>#N/A</v>
      </c>
      <c r="O39" s="94" t="s">
        <v>1</v>
      </c>
      <c r="P39" s="85" t="str">
        <f t="shared" si="18"/>
        <v>B.MACHADO</v>
      </c>
      <c r="Q39" s="97" t="s">
        <v>28</v>
      </c>
      <c r="R39" s="85" t="str">
        <f t="shared" si="19"/>
        <v>THAIS</v>
      </c>
      <c r="S39" s="96" t="s">
        <v>27</v>
      </c>
      <c r="T39" s="85" t="str">
        <f t="shared" si="20"/>
        <v>MARCO</v>
      </c>
      <c r="U39" s="97" t="s">
        <v>6</v>
      </c>
      <c r="V39" s="85" t="str">
        <f t="shared" si="21"/>
        <v>FELIPE</v>
      </c>
    </row>
    <row r="40" spans="1:22" ht="15.75" x14ac:dyDescent="0.25">
      <c r="A40" s="86">
        <f t="shared" si="22"/>
        <v>46068</v>
      </c>
      <c r="B40" s="68"/>
      <c r="C40" s="94" t="s">
        <v>12</v>
      </c>
      <c r="D40" s="85" t="str">
        <f t="shared" si="12"/>
        <v>RODRIGO</v>
      </c>
      <c r="E40" s="95" t="s">
        <v>59</v>
      </c>
      <c r="F40" s="85" t="str">
        <f t="shared" si="13"/>
        <v>GUILHERME</v>
      </c>
      <c r="G40" s="94" t="s">
        <v>26</v>
      </c>
      <c r="H40" s="174" t="str">
        <f t="shared" si="14"/>
        <v>ALLAN</v>
      </c>
      <c r="I40" s="95" t="s">
        <v>4</v>
      </c>
      <c r="J40" s="174" t="str">
        <f t="shared" si="15"/>
        <v>BRANCÃO</v>
      </c>
      <c r="K40" s="80"/>
      <c r="L40" s="84" t="e">
        <f t="shared" si="16"/>
        <v>#N/A</v>
      </c>
      <c r="M40" s="80"/>
      <c r="N40" s="69" t="e">
        <f t="shared" si="17"/>
        <v>#N/A</v>
      </c>
      <c r="O40" s="94" t="s">
        <v>0</v>
      </c>
      <c r="P40" s="85" t="str">
        <f t="shared" si="18"/>
        <v>EDUARDO</v>
      </c>
      <c r="Q40" s="97" t="s">
        <v>28</v>
      </c>
      <c r="R40" s="85" t="str">
        <f t="shared" si="19"/>
        <v>THAIS</v>
      </c>
      <c r="S40" s="96" t="s">
        <v>27</v>
      </c>
      <c r="T40" s="85" t="str">
        <f t="shared" si="20"/>
        <v>MARCO</v>
      </c>
      <c r="U40" s="97" t="s">
        <v>6</v>
      </c>
      <c r="V40" s="71" t="str">
        <f t="shared" si="21"/>
        <v>FELIPE</v>
      </c>
    </row>
    <row r="41" spans="1:22" ht="15.75" x14ac:dyDescent="0.25">
      <c r="A41" s="86">
        <f t="shared" si="22"/>
        <v>46069</v>
      </c>
      <c r="B41" s="70"/>
      <c r="C41" s="94" t="s">
        <v>12</v>
      </c>
      <c r="D41" s="85" t="str">
        <f t="shared" si="12"/>
        <v>RODRIGO</v>
      </c>
      <c r="E41" s="95" t="s">
        <v>10</v>
      </c>
      <c r="F41" s="85" t="str">
        <f t="shared" si="13"/>
        <v>VITORIA</v>
      </c>
      <c r="G41" s="94" t="s">
        <v>26</v>
      </c>
      <c r="H41" s="174" t="str">
        <f t="shared" si="14"/>
        <v>ALLAN</v>
      </c>
      <c r="I41" s="95" t="s">
        <v>4</v>
      </c>
      <c r="J41" s="174" t="str">
        <f t="shared" si="15"/>
        <v>BRANCÃO</v>
      </c>
      <c r="K41" s="80" t="s">
        <v>139</v>
      </c>
      <c r="L41" s="84" t="str">
        <f t="shared" si="16"/>
        <v>CLEITON</v>
      </c>
      <c r="M41" s="80" t="s">
        <v>140</v>
      </c>
      <c r="N41" s="69" t="str">
        <f t="shared" si="17"/>
        <v>TONINHO</v>
      </c>
      <c r="O41" s="94" t="s">
        <v>0</v>
      </c>
      <c r="P41" s="85" t="str">
        <f t="shared" si="18"/>
        <v>EDUARDO</v>
      </c>
      <c r="Q41" s="97" t="s">
        <v>28</v>
      </c>
      <c r="R41" s="85" t="str">
        <f t="shared" si="19"/>
        <v>THAIS</v>
      </c>
      <c r="S41" s="96" t="s">
        <v>27</v>
      </c>
      <c r="T41" s="85" t="str">
        <f t="shared" si="20"/>
        <v>MARCO</v>
      </c>
      <c r="U41" s="97" t="s">
        <v>6</v>
      </c>
      <c r="V41" s="71" t="str">
        <f t="shared" si="21"/>
        <v>FELIPE</v>
      </c>
    </row>
    <row r="42" spans="1:22" ht="15.75" x14ac:dyDescent="0.25">
      <c r="A42" s="86">
        <f t="shared" si="22"/>
        <v>46070</v>
      </c>
      <c r="B42" s="70"/>
      <c r="C42" s="94" t="s">
        <v>12</v>
      </c>
      <c r="D42" s="174" t="str">
        <f t="shared" si="12"/>
        <v>RODRIGO</v>
      </c>
      <c r="E42" s="95" t="s">
        <v>10</v>
      </c>
      <c r="F42" s="85" t="str">
        <f t="shared" si="13"/>
        <v>VITORIA</v>
      </c>
      <c r="G42" s="94" t="s">
        <v>1</v>
      </c>
      <c r="H42" s="174" t="str">
        <f t="shared" si="14"/>
        <v>B.MACHADO</v>
      </c>
      <c r="I42" s="97" t="s">
        <v>4</v>
      </c>
      <c r="J42" s="174" t="str">
        <f t="shared" si="15"/>
        <v>BRANCÃO</v>
      </c>
      <c r="K42" s="80" t="s">
        <v>139</v>
      </c>
      <c r="L42" s="84" t="str">
        <f t="shared" si="16"/>
        <v>CLEITON</v>
      </c>
      <c r="M42" s="80" t="s">
        <v>140</v>
      </c>
      <c r="N42" s="69" t="str">
        <f t="shared" si="17"/>
        <v>TONINHO</v>
      </c>
      <c r="O42" s="94" t="s">
        <v>0</v>
      </c>
      <c r="P42" s="85" t="str">
        <f t="shared" si="18"/>
        <v>EDUARDO</v>
      </c>
      <c r="Q42" s="97" t="s">
        <v>28</v>
      </c>
      <c r="R42" s="71" t="str">
        <f t="shared" si="19"/>
        <v>THAIS</v>
      </c>
      <c r="S42" s="96" t="s">
        <v>8</v>
      </c>
      <c r="T42" s="85" t="str">
        <f t="shared" si="20"/>
        <v>B.HORNES</v>
      </c>
      <c r="U42" s="97" t="s">
        <v>59</v>
      </c>
      <c r="V42" s="71" t="str">
        <f t="shared" si="21"/>
        <v>GUILHERME</v>
      </c>
    </row>
    <row r="43" spans="1:22" ht="15.75" x14ac:dyDescent="0.25">
      <c r="A43" s="86">
        <f t="shared" si="22"/>
        <v>46071</v>
      </c>
      <c r="B43" s="68"/>
      <c r="C43" s="94" t="s">
        <v>12</v>
      </c>
      <c r="D43" s="174" t="str">
        <f t="shared" si="12"/>
        <v>RODRIGO</v>
      </c>
      <c r="E43" s="95" t="s">
        <v>10</v>
      </c>
      <c r="F43" s="85" t="str">
        <f t="shared" si="13"/>
        <v>VITORIA</v>
      </c>
      <c r="G43" s="94" t="s">
        <v>1</v>
      </c>
      <c r="H43" s="174" t="str">
        <f t="shared" si="14"/>
        <v>B.MACHADO</v>
      </c>
      <c r="I43" s="97" t="s">
        <v>4</v>
      </c>
      <c r="J43" s="174" t="str">
        <f t="shared" si="15"/>
        <v>BRANCÃO</v>
      </c>
      <c r="K43" s="81" t="s">
        <v>139</v>
      </c>
      <c r="L43" s="84" t="str">
        <f t="shared" si="16"/>
        <v>CLEITON</v>
      </c>
      <c r="M43" s="81" t="s">
        <v>140</v>
      </c>
      <c r="N43" s="69" t="str">
        <f t="shared" si="17"/>
        <v>TONINHO</v>
      </c>
      <c r="O43" s="94" t="s">
        <v>0</v>
      </c>
      <c r="P43" s="85" t="str">
        <f t="shared" si="18"/>
        <v>EDUARDO</v>
      </c>
      <c r="Q43" s="97" t="s">
        <v>6</v>
      </c>
      <c r="R43" s="71" t="str">
        <f t="shared" si="19"/>
        <v>FELIPE</v>
      </c>
      <c r="S43" s="96" t="s">
        <v>8</v>
      </c>
      <c r="T43" s="85" t="str">
        <f t="shared" si="20"/>
        <v>B.HORNES</v>
      </c>
      <c r="U43" s="97" t="s">
        <v>59</v>
      </c>
      <c r="V43" s="71" t="str">
        <f t="shared" si="21"/>
        <v>GUILHERME</v>
      </c>
    </row>
    <row r="44" spans="1:22" ht="15.75" x14ac:dyDescent="0.25">
      <c r="A44" s="86">
        <f t="shared" si="22"/>
        <v>46072</v>
      </c>
      <c r="B44" s="68"/>
      <c r="C44" s="94" t="s">
        <v>26</v>
      </c>
      <c r="D44" s="174" t="str">
        <f t="shared" si="12"/>
        <v>ALLAN</v>
      </c>
      <c r="E44" s="95" t="s">
        <v>10</v>
      </c>
      <c r="F44" s="85" t="str">
        <f t="shared" si="13"/>
        <v>VITORIA</v>
      </c>
      <c r="G44" s="94" t="s">
        <v>1</v>
      </c>
      <c r="H44" s="174" t="str">
        <f t="shared" si="14"/>
        <v>B.MACHADO</v>
      </c>
      <c r="I44" s="97" t="s">
        <v>28</v>
      </c>
      <c r="J44" s="174" t="str">
        <f t="shared" si="15"/>
        <v>THAIS</v>
      </c>
      <c r="K44" s="80" t="s">
        <v>139</v>
      </c>
      <c r="L44" s="84" t="str">
        <f t="shared" si="16"/>
        <v>CLEITON</v>
      </c>
      <c r="M44" s="80" t="s">
        <v>140</v>
      </c>
      <c r="N44" s="69" t="str">
        <f t="shared" si="17"/>
        <v>TONINHO</v>
      </c>
      <c r="O44" s="94" t="s">
        <v>27</v>
      </c>
      <c r="P44" s="85" t="str">
        <f t="shared" si="18"/>
        <v>MARCO</v>
      </c>
      <c r="Q44" s="97" t="s">
        <v>6</v>
      </c>
      <c r="R44" s="71" t="str">
        <f t="shared" si="19"/>
        <v>FELIPE</v>
      </c>
      <c r="S44" s="96" t="s">
        <v>8</v>
      </c>
      <c r="T44" s="85" t="str">
        <f t="shared" si="20"/>
        <v>B.HORNES</v>
      </c>
      <c r="U44" s="97" t="s">
        <v>59</v>
      </c>
      <c r="V44" s="71" t="str">
        <f t="shared" si="21"/>
        <v>GUILHERME</v>
      </c>
    </row>
    <row r="45" spans="1:22" ht="15.75" x14ac:dyDescent="0.25">
      <c r="A45" s="86">
        <f t="shared" si="22"/>
        <v>46073</v>
      </c>
      <c r="B45" s="68"/>
      <c r="C45" s="94" t="s">
        <v>26</v>
      </c>
      <c r="D45" s="174" t="str">
        <f t="shared" si="12"/>
        <v>ALLAN</v>
      </c>
      <c r="E45" s="95" t="s">
        <v>4</v>
      </c>
      <c r="F45" s="85" t="str">
        <f t="shared" si="13"/>
        <v>BRANCÃO</v>
      </c>
      <c r="G45" s="94" t="s">
        <v>1</v>
      </c>
      <c r="H45" s="174" t="str">
        <f t="shared" si="14"/>
        <v>B.MACHADO</v>
      </c>
      <c r="I45" s="97" t="s">
        <v>28</v>
      </c>
      <c r="J45" s="174" t="str">
        <f t="shared" si="15"/>
        <v>THAIS</v>
      </c>
      <c r="K45" s="81" t="s">
        <v>140</v>
      </c>
      <c r="L45" s="84" t="str">
        <f t="shared" si="16"/>
        <v>TONINHO</v>
      </c>
      <c r="M45" s="81" t="s">
        <v>139</v>
      </c>
      <c r="N45" s="69" t="str">
        <f t="shared" si="17"/>
        <v>CLEITON</v>
      </c>
      <c r="O45" s="94" t="s">
        <v>27</v>
      </c>
      <c r="P45" s="85" t="str">
        <f t="shared" si="18"/>
        <v>MARCO</v>
      </c>
      <c r="Q45" s="97" t="s">
        <v>6</v>
      </c>
      <c r="R45" s="71" t="str">
        <f t="shared" si="19"/>
        <v>FELIPE</v>
      </c>
      <c r="S45" s="96" t="s">
        <v>8</v>
      </c>
      <c r="T45" s="85" t="str">
        <f t="shared" si="20"/>
        <v>B.HORNES</v>
      </c>
      <c r="U45" s="97" t="s">
        <v>59</v>
      </c>
      <c r="V45" s="71" t="str">
        <f t="shared" si="21"/>
        <v>GUILHERME</v>
      </c>
    </row>
    <row r="46" spans="1:22" ht="15.75" x14ac:dyDescent="0.25">
      <c r="A46" s="86">
        <f t="shared" si="22"/>
        <v>46074</v>
      </c>
      <c r="B46" s="68"/>
      <c r="C46" s="94" t="s">
        <v>26</v>
      </c>
      <c r="D46" s="174" t="str">
        <f t="shared" si="12"/>
        <v>ALLAN</v>
      </c>
      <c r="E46" s="95" t="s">
        <v>4</v>
      </c>
      <c r="F46" s="85" t="str">
        <f t="shared" si="13"/>
        <v>BRANCÃO</v>
      </c>
      <c r="G46" s="94" t="s">
        <v>0</v>
      </c>
      <c r="H46" s="174" t="str">
        <f t="shared" si="14"/>
        <v>EDUARDO</v>
      </c>
      <c r="I46" s="97" t="s">
        <v>28</v>
      </c>
      <c r="J46" s="174" t="str">
        <f t="shared" si="15"/>
        <v>THAIS</v>
      </c>
      <c r="K46" s="80"/>
      <c r="L46" s="84" t="e">
        <f t="shared" si="16"/>
        <v>#N/A</v>
      </c>
      <c r="M46" s="80"/>
      <c r="N46" s="69" t="e">
        <f t="shared" si="17"/>
        <v>#N/A</v>
      </c>
      <c r="O46" s="94" t="s">
        <v>27</v>
      </c>
      <c r="P46" s="85" t="str">
        <f t="shared" si="18"/>
        <v>MARCO</v>
      </c>
      <c r="Q46" s="97" t="s">
        <v>6</v>
      </c>
      <c r="R46" s="71" t="str">
        <f t="shared" si="19"/>
        <v>FELIPE</v>
      </c>
      <c r="S46" s="96" t="s">
        <v>12</v>
      </c>
      <c r="T46" s="85" t="str">
        <f t="shared" si="20"/>
        <v>RODRIGO</v>
      </c>
      <c r="U46" s="97" t="s">
        <v>10</v>
      </c>
      <c r="V46" s="85" t="str">
        <f t="shared" si="21"/>
        <v>VITORIA</v>
      </c>
    </row>
    <row r="47" spans="1:22" ht="15.75" x14ac:dyDescent="0.25">
      <c r="A47" s="86">
        <f t="shared" si="22"/>
        <v>46075</v>
      </c>
      <c r="B47" s="68"/>
      <c r="C47" s="94" t="s">
        <v>26</v>
      </c>
      <c r="D47" s="174" t="str">
        <f t="shared" si="12"/>
        <v>ALLAN</v>
      </c>
      <c r="E47" s="95" t="s">
        <v>4</v>
      </c>
      <c r="F47" s="85" t="str">
        <f t="shared" si="13"/>
        <v>BRANCÃO</v>
      </c>
      <c r="G47" s="94" t="s">
        <v>0</v>
      </c>
      <c r="H47" s="174" t="str">
        <f t="shared" si="14"/>
        <v>EDUARDO</v>
      </c>
      <c r="I47" s="97" t="s">
        <v>28</v>
      </c>
      <c r="J47" s="174" t="str">
        <f t="shared" si="15"/>
        <v>THAIS</v>
      </c>
      <c r="K47" s="80"/>
      <c r="L47" s="84" t="e">
        <f t="shared" si="16"/>
        <v>#N/A</v>
      </c>
      <c r="M47" s="80"/>
      <c r="N47" s="69" t="e">
        <f t="shared" si="17"/>
        <v>#N/A</v>
      </c>
      <c r="O47" s="94" t="s">
        <v>27</v>
      </c>
      <c r="P47" s="85" t="str">
        <f t="shared" si="18"/>
        <v>MARCO</v>
      </c>
      <c r="Q47" s="97" t="s">
        <v>59</v>
      </c>
      <c r="R47" s="71" t="str">
        <f t="shared" si="19"/>
        <v>GUILHERME</v>
      </c>
      <c r="S47" s="96" t="s">
        <v>12</v>
      </c>
      <c r="T47" s="85" t="str">
        <f t="shared" si="20"/>
        <v>RODRIGO</v>
      </c>
      <c r="U47" s="97" t="s">
        <v>10</v>
      </c>
      <c r="V47" s="85" t="str">
        <f t="shared" si="21"/>
        <v>VITORIA</v>
      </c>
    </row>
    <row r="48" spans="1:22" ht="15.75" x14ac:dyDescent="0.25">
      <c r="A48" s="86">
        <f t="shared" si="22"/>
        <v>46076</v>
      </c>
      <c r="B48" s="70"/>
      <c r="C48" s="94" t="s">
        <v>1</v>
      </c>
      <c r="D48" s="174" t="str">
        <f t="shared" si="12"/>
        <v>B.MACHADO</v>
      </c>
      <c r="E48" s="95" t="s">
        <v>4</v>
      </c>
      <c r="F48" s="83" t="str">
        <f t="shared" si="13"/>
        <v>BRANCÃO</v>
      </c>
      <c r="G48" s="94" t="s">
        <v>0</v>
      </c>
      <c r="H48" s="174" t="str">
        <f t="shared" si="14"/>
        <v>EDUARDO</v>
      </c>
      <c r="I48" s="95" t="s">
        <v>6</v>
      </c>
      <c r="J48" s="174" t="str">
        <f t="shared" si="15"/>
        <v>FELIPE</v>
      </c>
      <c r="K48" s="80" t="s">
        <v>139</v>
      </c>
      <c r="L48" s="84" t="str">
        <f t="shared" si="16"/>
        <v>CLEITON</v>
      </c>
      <c r="M48" s="80" t="s">
        <v>140</v>
      </c>
      <c r="N48" s="69" t="str">
        <f t="shared" si="17"/>
        <v>TONINHO</v>
      </c>
      <c r="O48" s="94" t="s">
        <v>8</v>
      </c>
      <c r="P48" s="85" t="str">
        <f t="shared" si="18"/>
        <v>B.HORNES</v>
      </c>
      <c r="Q48" s="95" t="s">
        <v>95</v>
      </c>
      <c r="R48" s="71" t="str">
        <f t="shared" si="19"/>
        <v>RICHER</v>
      </c>
      <c r="S48" s="96" t="s">
        <v>12</v>
      </c>
      <c r="T48" s="85" t="str">
        <f t="shared" si="20"/>
        <v>RODRIGO</v>
      </c>
      <c r="U48" s="97" t="s">
        <v>10</v>
      </c>
      <c r="V48" s="85" t="str">
        <f t="shared" si="21"/>
        <v>VITORIA</v>
      </c>
    </row>
    <row r="49" spans="1:22" ht="15.75" x14ac:dyDescent="0.25">
      <c r="A49" s="86">
        <f t="shared" si="22"/>
        <v>46077</v>
      </c>
      <c r="B49" s="70"/>
      <c r="C49" s="94" t="s">
        <v>1</v>
      </c>
      <c r="D49" s="174" t="str">
        <f t="shared" si="12"/>
        <v>B.MACHADO</v>
      </c>
      <c r="E49" s="95" t="s">
        <v>28</v>
      </c>
      <c r="F49" s="85" t="str">
        <f t="shared" si="13"/>
        <v>THAIS</v>
      </c>
      <c r="G49" s="94" t="s">
        <v>0</v>
      </c>
      <c r="H49" s="174" t="str">
        <f t="shared" si="14"/>
        <v>EDUARDO</v>
      </c>
      <c r="I49" s="95" t="s">
        <v>6</v>
      </c>
      <c r="J49" s="174" t="str">
        <f t="shared" si="15"/>
        <v>FELIPE</v>
      </c>
      <c r="K49" s="80" t="s">
        <v>139</v>
      </c>
      <c r="L49" s="84" t="str">
        <f t="shared" si="16"/>
        <v>CLEITON</v>
      </c>
      <c r="M49" s="80" t="s">
        <v>140</v>
      </c>
      <c r="N49" s="69" t="str">
        <f t="shared" si="17"/>
        <v>TONINHO</v>
      </c>
      <c r="O49" s="94" t="s">
        <v>8</v>
      </c>
      <c r="P49" s="85" t="str">
        <f t="shared" si="18"/>
        <v>B.HORNES</v>
      </c>
      <c r="Q49" s="95" t="s">
        <v>95</v>
      </c>
      <c r="R49" s="71" t="str">
        <f t="shared" si="19"/>
        <v>RICHER</v>
      </c>
      <c r="S49" s="96" t="s">
        <v>12</v>
      </c>
      <c r="T49" s="85" t="str">
        <f t="shared" si="20"/>
        <v>RODRIGO</v>
      </c>
      <c r="U49" s="97" t="s">
        <v>10</v>
      </c>
      <c r="V49" s="71" t="str">
        <f t="shared" si="21"/>
        <v>VITORIA</v>
      </c>
    </row>
    <row r="50" spans="1:22" ht="15.75" x14ac:dyDescent="0.25">
      <c r="A50" s="86">
        <f t="shared" si="22"/>
        <v>46078</v>
      </c>
      <c r="B50" s="68"/>
      <c r="C50" s="94" t="s">
        <v>1</v>
      </c>
      <c r="D50" s="174" t="str">
        <f t="shared" si="12"/>
        <v>B.MACHADO</v>
      </c>
      <c r="E50" s="95" t="s">
        <v>28</v>
      </c>
      <c r="F50" s="85" t="str">
        <f t="shared" si="13"/>
        <v>THAIS</v>
      </c>
      <c r="G50" s="94" t="s">
        <v>27</v>
      </c>
      <c r="H50" s="85" t="str">
        <f t="shared" si="14"/>
        <v>MARCO</v>
      </c>
      <c r="I50" s="95" t="s">
        <v>59</v>
      </c>
      <c r="J50" s="174" t="str">
        <f t="shared" si="15"/>
        <v>GUILHERME</v>
      </c>
      <c r="K50" s="81" t="s">
        <v>139</v>
      </c>
      <c r="L50" s="84" t="str">
        <f t="shared" si="16"/>
        <v>CLEITON</v>
      </c>
      <c r="M50" s="81" t="s">
        <v>140</v>
      </c>
      <c r="N50" s="69" t="str">
        <f t="shared" si="17"/>
        <v>TONINHO</v>
      </c>
      <c r="O50" s="94" t="s">
        <v>8</v>
      </c>
      <c r="P50" s="85" t="str">
        <f t="shared" si="18"/>
        <v>B.HORNES</v>
      </c>
      <c r="Q50" s="95" t="s">
        <v>95</v>
      </c>
      <c r="R50" s="71" t="str">
        <f t="shared" si="19"/>
        <v>RICHER</v>
      </c>
      <c r="S50" s="96" t="s">
        <v>26</v>
      </c>
      <c r="T50" s="85" t="str">
        <f t="shared" si="20"/>
        <v>ALLAN</v>
      </c>
      <c r="U50" s="97" t="s">
        <v>4</v>
      </c>
      <c r="V50" s="71" t="str">
        <f t="shared" si="21"/>
        <v>BRANCÃO</v>
      </c>
    </row>
    <row r="51" spans="1:22" ht="15.75" x14ac:dyDescent="0.25">
      <c r="A51" s="86">
        <f t="shared" si="22"/>
        <v>46079</v>
      </c>
      <c r="B51" s="68"/>
      <c r="C51" s="94" t="s">
        <v>1</v>
      </c>
      <c r="D51" s="85" t="str">
        <f t="shared" si="12"/>
        <v>B.MACHADO</v>
      </c>
      <c r="E51" s="95" t="s">
        <v>28</v>
      </c>
      <c r="F51" s="71" t="str">
        <f t="shared" si="13"/>
        <v>THAIS</v>
      </c>
      <c r="G51" s="94" t="s">
        <v>27</v>
      </c>
      <c r="H51" s="85" t="str">
        <f t="shared" si="14"/>
        <v>MARCO</v>
      </c>
      <c r="I51" s="95" t="s">
        <v>59</v>
      </c>
      <c r="J51" s="174" t="str">
        <f t="shared" si="15"/>
        <v>GUILHERME</v>
      </c>
      <c r="K51" s="80" t="s">
        <v>139</v>
      </c>
      <c r="L51" s="84" t="str">
        <f t="shared" si="16"/>
        <v>CLEITON</v>
      </c>
      <c r="M51" s="80" t="s">
        <v>140</v>
      </c>
      <c r="N51" s="69" t="str">
        <f t="shared" si="17"/>
        <v>TONINHO</v>
      </c>
      <c r="O51" s="94" t="s">
        <v>8</v>
      </c>
      <c r="P51" s="85" t="str">
        <f t="shared" si="18"/>
        <v>B.HORNES</v>
      </c>
      <c r="Q51" s="95" t="s">
        <v>95</v>
      </c>
      <c r="R51" s="71" t="str">
        <f t="shared" si="19"/>
        <v>RICHER</v>
      </c>
      <c r="S51" s="96" t="s">
        <v>26</v>
      </c>
      <c r="T51" s="85" t="str">
        <f t="shared" si="20"/>
        <v>ALLAN</v>
      </c>
      <c r="U51" s="97" t="s">
        <v>4</v>
      </c>
      <c r="V51" s="71" t="str">
        <f t="shared" si="21"/>
        <v>BRANCÃO</v>
      </c>
    </row>
    <row r="52" spans="1:22" ht="15.75" x14ac:dyDescent="0.25">
      <c r="A52" s="86">
        <f t="shared" si="22"/>
        <v>46080</v>
      </c>
      <c r="B52" s="68"/>
      <c r="C52" s="94" t="s">
        <v>0</v>
      </c>
      <c r="D52" s="85" t="str">
        <f t="shared" si="12"/>
        <v>EDUARDO</v>
      </c>
      <c r="E52" s="95" t="s">
        <v>6</v>
      </c>
      <c r="F52" s="71" t="str">
        <f t="shared" si="13"/>
        <v>FELIPE</v>
      </c>
      <c r="G52" s="94" t="s">
        <v>27</v>
      </c>
      <c r="H52" s="85" t="str">
        <f t="shared" si="14"/>
        <v>MARCO</v>
      </c>
      <c r="I52" s="95" t="s">
        <v>59</v>
      </c>
      <c r="J52" s="85" t="str">
        <f t="shared" si="15"/>
        <v>GUILHERME</v>
      </c>
      <c r="K52" s="81" t="s">
        <v>140</v>
      </c>
      <c r="L52" s="84" t="str">
        <f t="shared" si="16"/>
        <v>TONINHO</v>
      </c>
      <c r="M52" s="81" t="s">
        <v>139</v>
      </c>
      <c r="N52" s="69" t="str">
        <f t="shared" si="17"/>
        <v>CLEITON</v>
      </c>
      <c r="O52" s="94" t="s">
        <v>12</v>
      </c>
      <c r="P52" s="85" t="str">
        <f t="shared" si="18"/>
        <v>RODRIGO</v>
      </c>
      <c r="Q52" s="95" t="s">
        <v>10</v>
      </c>
      <c r="R52" s="71" t="str">
        <f t="shared" si="19"/>
        <v>VITORIA</v>
      </c>
      <c r="S52" s="96" t="s">
        <v>26</v>
      </c>
      <c r="T52" s="85" t="str">
        <f t="shared" si="20"/>
        <v>ALLAN</v>
      </c>
      <c r="U52" s="97" t="s">
        <v>4</v>
      </c>
      <c r="V52" s="71" t="str">
        <f t="shared" si="21"/>
        <v>BRANCÃO</v>
      </c>
    </row>
    <row r="53" spans="1:22" ht="15.75" x14ac:dyDescent="0.25">
      <c r="A53" s="86">
        <f t="shared" si="22"/>
        <v>46081</v>
      </c>
      <c r="B53" s="68"/>
      <c r="C53" s="94" t="s">
        <v>0</v>
      </c>
      <c r="D53" s="85" t="str">
        <f t="shared" si="12"/>
        <v>EDUARDO</v>
      </c>
      <c r="E53" s="95" t="s">
        <v>6</v>
      </c>
      <c r="F53" s="71" t="str">
        <f t="shared" si="13"/>
        <v>FELIPE</v>
      </c>
      <c r="G53" s="94" t="s">
        <v>27</v>
      </c>
      <c r="H53" s="85" t="str">
        <f t="shared" si="14"/>
        <v>MARCO</v>
      </c>
      <c r="I53" s="95" t="s">
        <v>59</v>
      </c>
      <c r="J53" s="85" t="str">
        <f t="shared" si="15"/>
        <v>GUILHERME</v>
      </c>
      <c r="K53" s="80"/>
      <c r="L53" s="84" t="e">
        <f t="shared" si="16"/>
        <v>#N/A</v>
      </c>
      <c r="M53" s="80"/>
      <c r="N53" s="69" t="e">
        <f t="shared" si="17"/>
        <v>#N/A</v>
      </c>
      <c r="O53" s="94" t="s">
        <v>12</v>
      </c>
      <c r="P53" s="85" t="str">
        <f t="shared" si="18"/>
        <v>RODRIGO</v>
      </c>
      <c r="Q53" s="95" t="s">
        <v>10</v>
      </c>
      <c r="R53" s="71" t="str">
        <f t="shared" si="19"/>
        <v>VITORIA</v>
      </c>
      <c r="S53" s="96" t="s">
        <v>1</v>
      </c>
      <c r="T53" s="85" t="str">
        <f t="shared" si="20"/>
        <v>B.MACHADO</v>
      </c>
      <c r="U53" s="97" t="s">
        <v>4</v>
      </c>
      <c r="V53" s="71" t="str">
        <f t="shared" si="21"/>
        <v>BRANCÃO</v>
      </c>
    </row>
    <row r="54" spans="1:22" ht="15.75" x14ac:dyDescent="0.25">
      <c r="A54" s="86">
        <f t="shared" si="22"/>
        <v>46082</v>
      </c>
      <c r="B54" s="68"/>
      <c r="C54" s="94"/>
      <c r="D54" s="85" t="e">
        <f t="shared" si="12"/>
        <v>#N/A</v>
      </c>
      <c r="E54" s="97"/>
      <c r="F54" s="71" t="e">
        <f t="shared" si="13"/>
        <v>#N/A</v>
      </c>
      <c r="G54" s="94"/>
      <c r="H54" s="85" t="e">
        <f t="shared" si="14"/>
        <v>#N/A</v>
      </c>
      <c r="I54" s="97"/>
      <c r="J54" s="85" t="e">
        <f t="shared" si="15"/>
        <v>#N/A</v>
      </c>
      <c r="K54" s="80"/>
      <c r="L54" s="84" t="e">
        <f t="shared" si="16"/>
        <v>#N/A</v>
      </c>
      <c r="M54" s="80"/>
      <c r="N54" s="69" t="e">
        <f t="shared" si="17"/>
        <v>#N/A</v>
      </c>
      <c r="O54" s="94"/>
      <c r="P54" s="85" t="e">
        <f t="shared" si="18"/>
        <v>#N/A</v>
      </c>
      <c r="Q54" s="95"/>
      <c r="R54" s="85" t="e">
        <f t="shared" si="19"/>
        <v>#N/A</v>
      </c>
      <c r="S54" s="96"/>
      <c r="T54" s="85" t="e">
        <f t="shared" si="20"/>
        <v>#N/A</v>
      </c>
      <c r="U54" s="97"/>
      <c r="V54" s="85" t="e">
        <f t="shared" si="21"/>
        <v>#N/A</v>
      </c>
    </row>
    <row r="55" spans="1:22" ht="15.75" x14ac:dyDescent="0.25">
      <c r="A55" s="86">
        <f t="shared" si="22"/>
        <v>46083</v>
      </c>
      <c r="B55" s="68"/>
      <c r="C55" s="94"/>
      <c r="D55" s="85" t="e">
        <f t="shared" si="12"/>
        <v>#N/A</v>
      </c>
      <c r="E55" s="97"/>
      <c r="F55" s="71" t="e">
        <f t="shared" si="13"/>
        <v>#N/A</v>
      </c>
      <c r="G55" s="94"/>
      <c r="H55" s="85" t="e">
        <f t="shared" si="14"/>
        <v>#N/A</v>
      </c>
      <c r="I55" s="97"/>
      <c r="J55" s="85" t="e">
        <f t="shared" si="15"/>
        <v>#N/A</v>
      </c>
      <c r="K55" s="80"/>
      <c r="L55" s="84" t="e">
        <f t="shared" si="16"/>
        <v>#N/A</v>
      </c>
      <c r="M55" s="80"/>
      <c r="N55" s="69" t="e">
        <f t="shared" si="17"/>
        <v>#N/A</v>
      </c>
      <c r="O55" s="94"/>
      <c r="P55" s="85" t="e">
        <f t="shared" si="18"/>
        <v>#N/A</v>
      </c>
      <c r="Q55" s="95"/>
      <c r="R55" s="71" t="e">
        <f t="shared" si="19"/>
        <v>#N/A</v>
      </c>
      <c r="S55" s="96"/>
      <c r="T55" s="85" t="e">
        <f t="shared" si="20"/>
        <v>#N/A</v>
      </c>
      <c r="U55" s="97"/>
      <c r="V55" s="71" t="e">
        <f t="shared" si="21"/>
        <v>#N/A</v>
      </c>
    </row>
    <row r="56" spans="1:22" ht="15.75" x14ac:dyDescent="0.25">
      <c r="A56" s="86">
        <f t="shared" si="22"/>
        <v>46084</v>
      </c>
      <c r="C56" s="94"/>
      <c r="D56" s="85" t="e">
        <f t="shared" si="12"/>
        <v>#N/A</v>
      </c>
      <c r="E56" s="97"/>
      <c r="F56" s="71" t="e">
        <f t="shared" si="13"/>
        <v>#N/A</v>
      </c>
      <c r="G56" s="94"/>
      <c r="H56" s="85" t="e">
        <f t="shared" si="14"/>
        <v>#N/A</v>
      </c>
      <c r="I56" s="97"/>
      <c r="J56" s="85" t="e">
        <f t="shared" si="15"/>
        <v>#N/A</v>
      </c>
      <c r="K56" s="80"/>
      <c r="L56" s="84" t="e">
        <f t="shared" si="16"/>
        <v>#N/A</v>
      </c>
      <c r="M56" s="80"/>
      <c r="N56" s="69" t="e">
        <f t="shared" si="17"/>
        <v>#N/A</v>
      </c>
      <c r="O56" s="96"/>
      <c r="P56" s="85" t="e">
        <f t="shared" si="18"/>
        <v>#N/A</v>
      </c>
      <c r="Q56" s="95"/>
      <c r="R56" s="85" t="e">
        <f t="shared" si="19"/>
        <v>#N/A</v>
      </c>
      <c r="S56" s="96"/>
      <c r="T56" s="85" t="e">
        <f t="shared" si="20"/>
        <v>#N/A</v>
      </c>
      <c r="U56" s="97"/>
      <c r="V56" s="71" t="e">
        <f t="shared" si="21"/>
        <v>#N/A</v>
      </c>
    </row>
    <row r="57" spans="1:22" x14ac:dyDescent="0.25"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K58"/>
      <c r="L58"/>
      <c r="M58"/>
      <c r="N58"/>
      <c r="O58"/>
      <c r="Q58"/>
    </row>
    <row r="59" spans="1:22" x14ac:dyDescent="0.25">
      <c r="K59"/>
      <c r="L59"/>
      <c r="M59"/>
      <c r="N59"/>
      <c r="O59"/>
    </row>
    <row r="60" spans="1:22" x14ac:dyDescent="0.25">
      <c r="K60"/>
      <c r="L60"/>
      <c r="M60"/>
      <c r="N60"/>
      <c r="O60"/>
    </row>
    <row r="61" spans="1:22" x14ac:dyDescent="0.25">
      <c r="K61"/>
      <c r="O61"/>
    </row>
    <row r="62" spans="1:22" x14ac:dyDescent="0.25">
      <c r="O62"/>
    </row>
    <row r="63" spans="1:22" x14ac:dyDescent="0.25">
      <c r="O63"/>
    </row>
    <row r="64" spans="1:22" x14ac:dyDescent="0.25">
      <c r="O64"/>
    </row>
    <row r="65" spans="15:15" x14ac:dyDescent="0.25">
      <c r="O65"/>
    </row>
    <row r="66" spans="15:15" x14ac:dyDescent="0.25">
      <c r="O66"/>
    </row>
    <row r="67" spans="15:15" x14ac:dyDescent="0.25">
      <c r="O6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01" r:id="rId4" name="Button 1">
              <controlPr defaultSize="0" print="0" autoFill="0" autoPict="0" macro="[0]!Módulo6.APAGAESCALA">
                <anchor moveWithCells="1" sizeWithCells="1">
                  <from>
                    <xdr:col>14</xdr:col>
                    <xdr:colOff>76200</xdr:colOff>
                    <xdr:row>13</xdr:row>
                    <xdr:rowOff>152400</xdr:rowOff>
                  </from>
                  <to>
                    <xdr:col>15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026D7-83A6-426B-B078-C080768AA56D}">
  <sheetPr codeName="Planilha134">
    <pageSetUpPr fitToPage="1"/>
  </sheetPr>
  <dimension ref="E2:AE57"/>
  <sheetViews>
    <sheetView showGridLines="0" tabSelected="1" topLeftCell="I7" zoomScale="85" zoomScaleNormal="85" workbookViewId="0">
      <selection activeCell="S19" sqref="S19"/>
    </sheetView>
  </sheetViews>
  <sheetFormatPr defaultRowHeight="15" x14ac:dyDescent="0.25"/>
  <cols>
    <col min="7" max="7" width="10.7109375" bestFit="1" customWidth="1"/>
    <col min="10" max="10" width="11.42578125" customWidth="1"/>
    <col min="11" max="11" width="2" hidden="1" customWidth="1"/>
    <col min="12" max="12" width="11.140625" customWidth="1"/>
    <col min="13" max="16" width="17.42578125" customWidth="1"/>
    <col min="17" max="18" width="13.28515625" style="7" customWidth="1"/>
    <col min="19" max="22" width="17.42578125" style="7" customWidth="1"/>
    <col min="23" max="23" width="2.42578125" customWidth="1"/>
    <col min="24" max="24" width="4.85546875" customWidth="1"/>
    <col min="25" max="25" width="13.85546875" customWidth="1"/>
    <col min="26" max="30" width="6.140625" customWidth="1"/>
    <col min="31" max="31" width="6.5703125" customWidth="1"/>
    <col min="32" max="32" width="9.140625" customWidth="1"/>
  </cols>
  <sheetData>
    <row r="2" spans="5:31" ht="15.75" thickBot="1" x14ac:dyDescent="0.3">
      <c r="E2" s="154"/>
    </row>
    <row r="3" spans="5:31" ht="26.25" customHeight="1" thickBot="1" x14ac:dyDescent="0.3">
      <c r="J3" s="8"/>
      <c r="K3" s="9"/>
      <c r="L3" s="9"/>
      <c r="M3" s="194" t="s">
        <v>32</v>
      </c>
      <c r="N3" s="194"/>
      <c r="O3" s="194"/>
      <c r="P3" s="194"/>
      <c r="Q3" s="194"/>
      <c r="R3" s="194"/>
      <c r="S3" s="194"/>
      <c r="T3" s="194"/>
      <c r="U3" s="194"/>
      <c r="V3" s="195"/>
      <c r="X3" s="198" t="s">
        <v>125</v>
      </c>
      <c r="Y3" s="199"/>
    </row>
    <row r="4" spans="5:31" ht="15" customHeight="1" thickBot="1" x14ac:dyDescent="0.3">
      <c r="J4" s="10"/>
      <c r="M4" s="196"/>
      <c r="N4" s="196"/>
      <c r="O4" s="196"/>
      <c r="P4" s="196"/>
      <c r="Q4" s="196"/>
      <c r="R4" s="196"/>
      <c r="S4" s="196"/>
      <c r="T4" s="196"/>
      <c r="U4" s="196"/>
      <c r="V4" s="197"/>
      <c r="X4" s="200" t="s">
        <v>126</v>
      </c>
      <c r="Y4" s="201"/>
    </row>
    <row r="5" spans="5:31" ht="15" customHeight="1" thickBot="1" x14ac:dyDescent="0.3">
      <c r="J5" s="10"/>
      <c r="M5" s="202" t="s">
        <v>34</v>
      </c>
      <c r="N5" s="202"/>
      <c r="O5" s="202"/>
      <c r="P5" s="202"/>
      <c r="Q5" s="202"/>
      <c r="R5" s="202"/>
      <c r="S5" s="202"/>
      <c r="T5" s="202"/>
      <c r="U5" s="202"/>
      <c r="V5" s="203"/>
      <c r="X5" s="204" t="s">
        <v>14</v>
      </c>
      <c r="Y5" s="205"/>
    </row>
    <row r="6" spans="5:31" ht="15" customHeight="1" thickBot="1" x14ac:dyDescent="0.3">
      <c r="J6" s="10"/>
      <c r="M6" s="202"/>
      <c r="N6" s="202"/>
      <c r="O6" s="202"/>
      <c r="P6" s="202"/>
      <c r="Q6" s="202"/>
      <c r="R6" s="202"/>
      <c r="S6" s="202"/>
      <c r="T6" s="202"/>
      <c r="U6" s="202"/>
      <c r="V6" s="203"/>
      <c r="X6" s="206" t="s">
        <v>127</v>
      </c>
      <c r="Y6" s="207"/>
    </row>
    <row r="7" spans="5:31" ht="15" customHeight="1" thickBot="1" x14ac:dyDescent="0.3">
      <c r="J7" s="10"/>
      <c r="S7" s="172"/>
      <c r="T7" s="172"/>
      <c r="U7" s="172"/>
      <c r="V7" s="11"/>
      <c r="X7" s="208" t="s">
        <v>128</v>
      </c>
      <c r="Y7" s="209"/>
      <c r="AE7" s="98" t="s">
        <v>97</v>
      </c>
    </row>
    <row r="8" spans="5:31" ht="33.75" x14ac:dyDescent="0.25">
      <c r="J8" s="12"/>
      <c r="K8" s="13"/>
      <c r="L8" s="13"/>
      <c r="M8" s="210" t="s">
        <v>141</v>
      </c>
      <c r="N8" s="210"/>
      <c r="O8" s="210"/>
      <c r="P8" s="210"/>
      <c r="Q8" s="210"/>
      <c r="R8" s="210"/>
      <c r="S8" s="210"/>
      <c r="T8" s="210"/>
      <c r="U8" s="210"/>
      <c r="V8" s="211"/>
      <c r="AE8" s="99">
        <v>31</v>
      </c>
    </row>
    <row r="9" spans="5:31" ht="15" customHeight="1" thickBot="1" x14ac:dyDescent="0.3">
      <c r="J9" s="14"/>
      <c r="K9" s="15"/>
      <c r="L9" s="15"/>
      <c r="M9" s="15"/>
      <c r="N9" s="15"/>
      <c r="O9" s="15"/>
      <c r="P9" s="15"/>
      <c r="Q9" s="89"/>
      <c r="R9" s="89"/>
      <c r="S9" s="15"/>
      <c r="T9" s="15"/>
      <c r="U9" s="15"/>
      <c r="V9" s="16"/>
    </row>
    <row r="10" spans="5:31" ht="22.5" customHeight="1" thickBot="1" x14ac:dyDescent="0.3">
      <c r="J10" s="212" t="s">
        <v>33</v>
      </c>
      <c r="K10" s="213"/>
      <c r="L10" s="214"/>
      <c r="M10" s="173" t="s">
        <v>35</v>
      </c>
      <c r="N10" s="173" t="s">
        <v>35</v>
      </c>
      <c r="O10" s="173" t="s">
        <v>36</v>
      </c>
      <c r="P10" s="173" t="s">
        <v>36</v>
      </c>
      <c r="Q10" s="173" t="s">
        <v>61</v>
      </c>
      <c r="R10" s="173" t="s">
        <v>61</v>
      </c>
      <c r="S10" s="20" t="s">
        <v>37</v>
      </c>
      <c r="T10" s="21" t="s">
        <v>37</v>
      </c>
      <c r="U10" s="21" t="s">
        <v>38</v>
      </c>
      <c r="V10" s="11" t="s">
        <v>38</v>
      </c>
      <c r="X10" s="215" t="s">
        <v>43</v>
      </c>
      <c r="Y10" s="216"/>
      <c r="Z10" s="19" t="s">
        <v>15</v>
      </c>
      <c r="AA10" s="19" t="s">
        <v>16</v>
      </c>
      <c r="AB10" s="19" t="s">
        <v>17</v>
      </c>
      <c r="AC10" s="19" t="s">
        <v>18</v>
      </c>
      <c r="AD10" s="19" t="s">
        <v>42</v>
      </c>
      <c r="AE10" s="19" t="s">
        <v>14</v>
      </c>
    </row>
    <row r="11" spans="5:31" ht="22.5" customHeight="1" x14ac:dyDescent="0.25">
      <c r="J11" s="153">
        <v>46082</v>
      </c>
      <c r="K11" s="22">
        <f t="shared" ref="K11:K41" si="0">WEEKDAY(J11,2)</f>
        <v>7</v>
      </c>
      <c r="L11" s="22" t="str">
        <f t="shared" ref="L11:L41" si="1">IF(K11=7,"DOMINGO",IF(K11=6,"SABADO",IF(K11=5,"SEXTA",IF(K11=4,"QUINTA",IF(K11=3,"QUARTA",IF(K11=2,"TERÇA",IF(K11=1,"SEGUNDA",)))))))</f>
        <v>DOMINGO</v>
      </c>
      <c r="M11" s="184" t="str">
        <f>IFERROR(VLOOKUP(J11,'torre março'!$A$25:$V$61,4),"-")</f>
        <v>EDUARDO</v>
      </c>
      <c r="N11" s="184" t="str">
        <f>IFERROR(VLOOKUP(J11,'torre março'!$A$25:$V$61,6),"-")</f>
        <v>FELIPE</v>
      </c>
      <c r="O11" s="22" t="str">
        <f>IFERROR(VLOOKUP(J11,'torre março'!$A$25:$V$61,8),"-")</f>
        <v>RODRIGO</v>
      </c>
      <c r="P11" s="22" t="str">
        <f>IFERROR(VLOOKUP(J11,'torre março'!$A$25:$V$61,10),"-")</f>
        <v>THAIS</v>
      </c>
      <c r="Q11" s="22" t="str">
        <f>IFERROR(VLOOKUP(J11,'torre março'!$A$25:$V$62,12),"-")</f>
        <v>-</v>
      </c>
      <c r="R11" s="22" t="str">
        <f>IFERROR(VLOOKUP(J11,'torre março'!$A$25:$V$62,14),"-")</f>
        <v>-</v>
      </c>
      <c r="S11" s="22" t="str">
        <f>IFERROR(VLOOKUP(J11,'torre março'!$A$25:$V$61,16),"-")</f>
        <v>ALLAN</v>
      </c>
      <c r="T11" s="22" t="str">
        <f>IFERROR(VLOOKUP(J11,'torre março'!$A$25:$V$61,18),"-")</f>
        <v>VITORIA</v>
      </c>
      <c r="U11" s="22" t="str">
        <f>IFERROR(VLOOKUP(J11,'torre março'!$A$25:$V$61,20),"-")</f>
        <v>B.MACHADO</v>
      </c>
      <c r="V11" s="23" t="str">
        <f>IFERROR(VLOOKUP(J11,'torre março'!$A$25:$V$61,22),"-")</f>
        <v>RICHER</v>
      </c>
      <c r="X11" s="49" t="s">
        <v>26</v>
      </c>
      <c r="Y11" s="25" t="str">
        <f>'torre março'!G3</f>
        <v>EDUARDO</v>
      </c>
      <c r="Z11" s="19">
        <f t="shared" ref="Z11:Z24" si="2">COUNTIF($M$11:$N$42,Y11)</f>
        <v>5</v>
      </c>
      <c r="AA11" s="19">
        <f t="shared" ref="AA11:AA24" si="3">COUNTIF($O$11:$P$42,Y11)</f>
        <v>4</v>
      </c>
      <c r="AB11" s="19">
        <f t="shared" ref="AB11:AB24" si="4">COUNTIF($S$11:$T$42,Y11)</f>
        <v>5</v>
      </c>
      <c r="AC11" s="19">
        <f t="shared" ref="AC11:AC24" si="5">COUNTIF($U$11:$V$42,Y11)</f>
        <v>6</v>
      </c>
      <c r="AD11" s="19">
        <f>SUM(Z11:AC11)</f>
        <v>20</v>
      </c>
      <c r="AE11" s="19">
        <f>$AE$8-AD11</f>
        <v>11</v>
      </c>
    </row>
    <row r="12" spans="5:31" ht="22.5" customHeight="1" x14ac:dyDescent="0.25">
      <c r="J12" s="175">
        <v>46083</v>
      </c>
      <c r="K12" s="18">
        <f t="shared" si="0"/>
        <v>1</v>
      </c>
      <c r="L12" s="18" t="str">
        <f t="shared" si="1"/>
        <v>SEGUNDA</v>
      </c>
      <c r="M12" s="18" t="str">
        <f>IFERROR(VLOOKUP(J12,'torre março'!$A$25:$V$61,4),"-")</f>
        <v>MARCO</v>
      </c>
      <c r="N12" s="18" t="str">
        <f>IFERROR(VLOOKUP(J12,'torre março'!$A$25:$V$61,6),"-")</f>
        <v>BRANCÃO</v>
      </c>
      <c r="O12" s="18" t="str">
        <f>IFERROR(VLOOKUP(J12,'torre março'!$A$25:$V$61,8),"-")</f>
        <v>RODRIGO</v>
      </c>
      <c r="P12" s="18" t="str">
        <f>IFERROR(VLOOKUP(J12,'torre março'!$A$25:$V$61,10),"-")</f>
        <v>THAIS</v>
      </c>
      <c r="Q12" s="18" t="str">
        <f>IFERROR(VLOOKUP(J12,'torre março'!$A$25:$V$62,12),"-")</f>
        <v>-</v>
      </c>
      <c r="R12" s="18" t="str">
        <f>IFERROR(VLOOKUP(J12,'torre março'!$A$25:$V$62,14),"-")</f>
        <v>-</v>
      </c>
      <c r="S12" s="18" t="str">
        <f>IFERROR(VLOOKUP(J12,'torre março'!$A$25:$V$61,16),"-")</f>
        <v>B.MACHADO</v>
      </c>
      <c r="T12" s="18" t="str">
        <f>IFERROR(VLOOKUP(J12,'torre março'!$A$25:$V$61,18),"-")</f>
        <v>GUILHERME</v>
      </c>
      <c r="U12" s="18" t="str">
        <f>IFERROR(VLOOKUP(J12,'torre março'!$A$25:$V$61,20),"-")</f>
        <v>ALLAN</v>
      </c>
      <c r="V12" s="24" t="str">
        <f>IFERROR(VLOOKUP(J12,'torre março'!$A$25:$V$61,22),"-")</f>
        <v>RICHER</v>
      </c>
      <c r="X12" s="49" t="s">
        <v>1</v>
      </c>
      <c r="Y12" s="25" t="str">
        <f>'torre março'!G4</f>
        <v>MARCO</v>
      </c>
      <c r="Z12" s="19">
        <f t="shared" si="2"/>
        <v>6</v>
      </c>
      <c r="AA12" s="19">
        <f t="shared" si="3"/>
        <v>4</v>
      </c>
      <c r="AB12" s="19">
        <f t="shared" si="4"/>
        <v>4</v>
      </c>
      <c r="AC12" s="19">
        <f t="shared" si="5"/>
        <v>6</v>
      </c>
      <c r="AD12" s="19">
        <f t="shared" ref="AD12:AD26" si="6">SUM(Z12:AC12)</f>
        <v>20</v>
      </c>
      <c r="AE12" s="19">
        <f t="shared" ref="AE12:AE26" si="7">$AE$8-AD12</f>
        <v>11</v>
      </c>
    </row>
    <row r="13" spans="5:31" ht="22.5" customHeight="1" x14ac:dyDescent="0.25">
      <c r="J13" s="26">
        <v>46084</v>
      </c>
      <c r="K13" s="18">
        <f t="shared" si="0"/>
        <v>2</v>
      </c>
      <c r="L13" s="18" t="str">
        <f t="shared" si="1"/>
        <v>TERÇA</v>
      </c>
      <c r="M13" s="18" t="str">
        <f>IFERROR(VLOOKUP(J13,'torre março'!$A$25:$V$61,4),"-")</f>
        <v>MARCO</v>
      </c>
      <c r="N13" s="18" t="str">
        <f>IFERROR(VLOOKUP(J13,'torre março'!$A$25:$V$61,6),"-")</f>
        <v>BRANCÃO</v>
      </c>
      <c r="O13" s="18" t="str">
        <f>IFERROR(VLOOKUP(J13,'torre março'!$A$25:$V$61,8),"-")</f>
        <v>B.MACHADO</v>
      </c>
      <c r="P13" s="18" t="str">
        <f>IFERROR(VLOOKUP(J13,'torre março'!$A$25:$V$61,10),"-")</f>
        <v>FELIPE</v>
      </c>
      <c r="Q13" s="18" t="str">
        <f>IFERROR(VLOOKUP(J13,'torre março'!$A$25:$V$62,12),"-")</f>
        <v>CLEITON</v>
      </c>
      <c r="R13" s="18" t="str">
        <f>IFERROR(VLOOKUP(J13,'torre março'!$A$25:$V$62,14),"-")</f>
        <v>TONINHO</v>
      </c>
      <c r="S13" s="18" t="str">
        <f>IFERROR(VLOOKUP(J13,'torre março'!$A$25:$V$61,16),"-")</f>
        <v>B.SELAYARAN</v>
      </c>
      <c r="T13" s="18" t="str">
        <f>IFERROR(VLOOKUP(J13,'torre março'!$A$25:$V$61,18),"-")</f>
        <v>GUILHERME</v>
      </c>
      <c r="U13" s="185" t="str">
        <f>IFERROR(VLOOKUP(J13,'torre março'!$A$25:$V$61,20),"-")</f>
        <v>EDUARDO</v>
      </c>
      <c r="V13" s="24" t="str">
        <f>IFERROR(VLOOKUP(J13,'torre março'!$A$25:$V$61,22),"-")</f>
        <v>VITORIA</v>
      </c>
      <c r="X13" s="49" t="s">
        <v>0</v>
      </c>
      <c r="Y13" s="25" t="str">
        <f>'torre março'!G5</f>
        <v>RODRIGO</v>
      </c>
      <c r="Z13" s="19">
        <f t="shared" si="2"/>
        <v>7</v>
      </c>
      <c r="AA13" s="19">
        <f t="shared" si="3"/>
        <v>6</v>
      </c>
      <c r="AB13" s="19">
        <f t="shared" si="4"/>
        <v>4</v>
      </c>
      <c r="AC13" s="19">
        <f t="shared" si="5"/>
        <v>4</v>
      </c>
      <c r="AD13" s="19">
        <f t="shared" si="6"/>
        <v>21</v>
      </c>
      <c r="AE13" s="19">
        <f t="shared" si="7"/>
        <v>10</v>
      </c>
    </row>
    <row r="14" spans="5:31" ht="22.5" customHeight="1" x14ac:dyDescent="0.25">
      <c r="J14" s="175">
        <v>46085</v>
      </c>
      <c r="K14" s="18">
        <f t="shared" si="0"/>
        <v>3</v>
      </c>
      <c r="L14" s="18" t="str">
        <f t="shared" si="1"/>
        <v>QUARTA</v>
      </c>
      <c r="M14" s="18" t="str">
        <f>IFERROR(VLOOKUP(J14,'torre março'!$A$25:$V$61,4),"-")</f>
        <v>RODRIGO</v>
      </c>
      <c r="N14" s="18" t="str">
        <f>IFERROR(VLOOKUP(J14,'torre março'!$A$25:$V$61,6),"-")</f>
        <v>BRANCÃO</v>
      </c>
      <c r="O14" s="18" t="str">
        <f>IFERROR(VLOOKUP(J14,'torre março'!$A$25:$V$61,8),"-")</f>
        <v>B.MACHADO</v>
      </c>
      <c r="P14" s="18" t="str">
        <f>IFERROR(VLOOKUP(J14,'torre março'!$A$25:$V$61,10),"-")</f>
        <v>FELIPE</v>
      </c>
      <c r="Q14" s="18" t="str">
        <f>IFERROR(VLOOKUP(J14,'torre março'!$A$25:$V$62,12),"-")</f>
        <v>CLEITON</v>
      </c>
      <c r="R14" s="18" t="str">
        <f>IFERROR(VLOOKUP(J14,'torre março'!$A$25:$V$62,14),"-")</f>
        <v>TONINHO</v>
      </c>
      <c r="S14" s="18" t="str">
        <f>IFERROR(VLOOKUP(J14,'torre março'!$A$25:$V$61,16),"-")</f>
        <v>B.SELAYARAN</v>
      </c>
      <c r="T14" s="18" t="str">
        <f>IFERROR(VLOOKUP(J14,'torre março'!$A$25:$V$61,18),"-")</f>
        <v>GUILHERME</v>
      </c>
      <c r="U14" s="18" t="str">
        <f>IFERROR(VLOOKUP(J14,'torre março'!$A$25:$V$61,20),"-")</f>
        <v>EDUARDO</v>
      </c>
      <c r="V14" s="24" t="str">
        <f>IFERROR(VLOOKUP(J14,'torre março'!$A$25:$V$61,22),"-")</f>
        <v>VITORIA</v>
      </c>
      <c r="X14" s="49" t="s">
        <v>27</v>
      </c>
      <c r="Y14" s="25" t="str">
        <f>'torre março'!G6</f>
        <v>B.SELAYARAN</v>
      </c>
      <c r="Z14" s="19">
        <f t="shared" si="2"/>
        <v>5</v>
      </c>
      <c r="AA14" s="19">
        <f t="shared" si="3"/>
        <v>4</v>
      </c>
      <c r="AB14" s="19">
        <f t="shared" si="4"/>
        <v>6</v>
      </c>
      <c r="AC14" s="19">
        <f t="shared" si="5"/>
        <v>4</v>
      </c>
      <c r="AD14" s="19">
        <f t="shared" si="6"/>
        <v>19</v>
      </c>
      <c r="AE14" s="19">
        <f t="shared" si="7"/>
        <v>12</v>
      </c>
    </row>
    <row r="15" spans="5:31" ht="22.5" customHeight="1" x14ac:dyDescent="0.25">
      <c r="J15" s="175">
        <v>46086</v>
      </c>
      <c r="K15" s="18">
        <f t="shared" si="0"/>
        <v>4</v>
      </c>
      <c r="L15" s="18" t="str">
        <f t="shared" si="1"/>
        <v>QUINTA</v>
      </c>
      <c r="M15" s="18" t="str">
        <f>IFERROR(VLOOKUP(J15,'torre março'!$A$25:$V$61,4),"-")</f>
        <v>RODRIGO</v>
      </c>
      <c r="N15" s="18" t="str">
        <f>IFERROR(VLOOKUP(J15,'torre março'!$A$25:$V$61,6),"-")</f>
        <v>THAIS</v>
      </c>
      <c r="O15" s="18" t="str">
        <f>IFERROR(VLOOKUP(J15,'torre março'!$A$25:$V$61,8),"-")</f>
        <v>ALLAN</v>
      </c>
      <c r="P15" s="18" t="str">
        <f>IFERROR(VLOOKUP(J15,'torre março'!$A$25:$V$61,10),"-")</f>
        <v>FELIPE</v>
      </c>
      <c r="Q15" s="18" t="str">
        <f>IFERROR(VLOOKUP(J15,'torre março'!$A$25:$V$62,12),"-")</f>
        <v>CLEITON</v>
      </c>
      <c r="R15" s="18" t="str">
        <f>IFERROR(VLOOKUP(J15,'torre março'!$A$25:$V$62,14),"-")</f>
        <v>TONINHO</v>
      </c>
      <c r="S15" s="18" t="str">
        <f>IFERROR(VLOOKUP(J15,'torre março'!$A$25:$V$61,16),"-")</f>
        <v>B.MACHADO</v>
      </c>
      <c r="T15" s="18" t="str">
        <f>IFERROR(VLOOKUP(J15,'torre março'!$A$25:$V$61,18),"-")</f>
        <v>RICHER</v>
      </c>
      <c r="U15" s="18" t="str">
        <f>IFERROR(VLOOKUP(J15,'torre março'!$A$25:$V$61,20),"-")</f>
        <v>MARCO</v>
      </c>
      <c r="V15" s="24" t="str">
        <f>IFERROR(VLOOKUP(J15,'torre março'!$A$25:$V$61,22),"-")</f>
        <v>VITORIA</v>
      </c>
      <c r="X15" s="49" t="s">
        <v>8</v>
      </c>
      <c r="Y15" s="25" t="str">
        <f>'torre março'!G7</f>
        <v>ALLAN</v>
      </c>
      <c r="Z15" s="19">
        <f t="shared" si="2"/>
        <v>4</v>
      </c>
      <c r="AA15" s="19">
        <f t="shared" si="3"/>
        <v>7</v>
      </c>
      <c r="AB15" s="19">
        <f t="shared" si="4"/>
        <v>5</v>
      </c>
      <c r="AC15" s="19">
        <f t="shared" si="5"/>
        <v>5</v>
      </c>
      <c r="AD15" s="19">
        <f t="shared" si="6"/>
        <v>21</v>
      </c>
      <c r="AE15" s="19">
        <f t="shared" si="7"/>
        <v>10</v>
      </c>
    </row>
    <row r="16" spans="5:31" ht="22.5" customHeight="1" x14ac:dyDescent="0.25">
      <c r="J16" s="175">
        <v>46087</v>
      </c>
      <c r="K16" s="18">
        <f t="shared" si="0"/>
        <v>5</v>
      </c>
      <c r="L16" s="18" t="str">
        <f t="shared" si="1"/>
        <v>SEXTA</v>
      </c>
      <c r="M16" s="18" t="str">
        <f>IFERROR(VLOOKUP(J16,'torre março'!$A$25:$V$61,4),"-")</f>
        <v>RODRIGO</v>
      </c>
      <c r="N16" s="18" t="str">
        <f>IFERROR(VLOOKUP(J16,'torre março'!$A$25:$V$61,6),"-")</f>
        <v>THAIS</v>
      </c>
      <c r="O16" s="18" t="str">
        <f>IFERROR(VLOOKUP(J16,'torre março'!$A$25:$V$61,8),"-")</f>
        <v>ALLAN</v>
      </c>
      <c r="P16" s="18" t="str">
        <f>IFERROR(VLOOKUP(J16,'torre março'!$A$25:$V$61,10),"-")</f>
        <v>FELIPE</v>
      </c>
      <c r="Q16" s="18" t="str">
        <f>IFERROR(VLOOKUP(J16,'torre março'!$A$25:$V$62,12),"-")</f>
        <v>CLEITON</v>
      </c>
      <c r="R16" s="18" t="str">
        <f>IFERROR(VLOOKUP(J16,'torre março'!$A$25:$V$62,14),"-")</f>
        <v>TONINHO</v>
      </c>
      <c r="S16" s="18" t="str">
        <f>IFERROR(VLOOKUP(J16,'torre março'!$A$25:$V$61,16),"-")</f>
        <v>B.MACHADO</v>
      </c>
      <c r="T16" s="18" t="str">
        <f>IFERROR(VLOOKUP(J16,'torre março'!$A$25:$V$61,18),"-")</f>
        <v>RICHER</v>
      </c>
      <c r="U16" s="18" t="str">
        <f>IFERROR(VLOOKUP(J16,'torre março'!$A$25:$V$61,20),"-")</f>
        <v>MARCO</v>
      </c>
      <c r="V16" s="24" t="str">
        <f>IFERROR(VLOOKUP(J16,'torre março'!$A$25:$V$61,22),"-")</f>
        <v>VITORIA</v>
      </c>
      <c r="X16" s="49" t="s">
        <v>12</v>
      </c>
      <c r="Y16" s="25" t="str">
        <f>'torre março'!G8</f>
        <v>B.MACHADO</v>
      </c>
      <c r="Z16" s="19">
        <f t="shared" si="2"/>
        <v>4</v>
      </c>
      <c r="AA16" s="19">
        <f t="shared" si="3"/>
        <v>6</v>
      </c>
      <c r="AB16" s="19">
        <f t="shared" si="4"/>
        <v>7</v>
      </c>
      <c r="AC16" s="19">
        <f t="shared" si="5"/>
        <v>5</v>
      </c>
      <c r="AD16" s="19">
        <f t="shared" si="6"/>
        <v>22</v>
      </c>
      <c r="AE16" s="19">
        <f t="shared" si="7"/>
        <v>9</v>
      </c>
    </row>
    <row r="17" spans="10:31" ht="22.5" customHeight="1" x14ac:dyDescent="0.25">
      <c r="J17" s="175">
        <v>46088</v>
      </c>
      <c r="K17" s="18">
        <f t="shared" si="0"/>
        <v>6</v>
      </c>
      <c r="L17" s="18" t="str">
        <f t="shared" si="1"/>
        <v>SABADO</v>
      </c>
      <c r="M17" s="18" t="str">
        <f>IFERROR(VLOOKUP(J17,'torre março'!$A$25:$V$61,4),"-")</f>
        <v>B.SELAYARAN</v>
      </c>
      <c r="N17" s="18" t="str">
        <f>IFERROR(VLOOKUP(J17,'torre março'!$A$25:$V$61,6),"-")</f>
        <v>THAIS</v>
      </c>
      <c r="O17" s="18" t="str">
        <f>IFERROR(VLOOKUP(J17,'torre março'!$A$25:$V$61,8),"-")</f>
        <v>ALLAN</v>
      </c>
      <c r="P17" s="18" t="str">
        <f>IFERROR(VLOOKUP(J17,'torre março'!$A$25:$V$61,10),"-")</f>
        <v>GUILHERME</v>
      </c>
      <c r="Q17" s="18" t="str">
        <f>IFERROR(VLOOKUP(J17,'torre março'!$A$25:$V$62,12),"-")</f>
        <v>TONINHO</v>
      </c>
      <c r="R17" s="18" t="str">
        <f>IFERROR(VLOOKUP(J17,'torre março'!$A$25:$V$62,14),"-")</f>
        <v>CLEITON</v>
      </c>
      <c r="S17" s="18" t="str">
        <f>IFERROR(VLOOKUP(J17,'torre março'!$A$25:$V$61,16),"-")</f>
        <v>EDUARDO</v>
      </c>
      <c r="T17" s="18" t="str">
        <f>IFERROR(VLOOKUP(J17,'torre março'!$A$25:$V$61,18),"-")</f>
        <v>RICHER</v>
      </c>
      <c r="U17" s="18" t="str">
        <f>IFERROR(VLOOKUP(J17,'torre março'!$A$25:$V$61,20),"-")</f>
        <v>MARCO</v>
      </c>
      <c r="V17" s="24" t="str">
        <f>IFERROR(VLOOKUP(J17,'torre março'!$A$25:$V$61,22),"-")</f>
        <v>BRANCÃO</v>
      </c>
      <c r="X17" s="49" t="s">
        <v>3</v>
      </c>
      <c r="Y17" s="25" t="str">
        <f>'torre março'!G9</f>
        <v>B.HORNES</v>
      </c>
      <c r="Z17" s="19">
        <f t="shared" si="2"/>
        <v>0</v>
      </c>
      <c r="AA17" s="19">
        <f t="shared" si="3"/>
        <v>0</v>
      </c>
      <c r="AB17" s="19">
        <f t="shared" si="4"/>
        <v>0</v>
      </c>
      <c r="AC17" s="19">
        <f t="shared" si="5"/>
        <v>1</v>
      </c>
      <c r="AD17" s="19">
        <f t="shared" si="6"/>
        <v>1</v>
      </c>
      <c r="AE17" s="19">
        <f t="shared" si="7"/>
        <v>30</v>
      </c>
    </row>
    <row r="18" spans="10:31" ht="22.5" customHeight="1" x14ac:dyDescent="0.25">
      <c r="J18" s="175">
        <v>46089</v>
      </c>
      <c r="K18" s="18">
        <f t="shared" si="0"/>
        <v>7</v>
      </c>
      <c r="L18" s="18" t="str">
        <f t="shared" si="1"/>
        <v>DOMINGO</v>
      </c>
      <c r="M18" s="18" t="str">
        <f>IFERROR(VLOOKUP(J18,'torre março'!$A$25:$V$61,4),"-")</f>
        <v>B.SELAYARAN</v>
      </c>
      <c r="N18" s="18" t="str">
        <f>IFERROR(VLOOKUP(J18,'torre março'!$A$25:$V$61,6),"-")</f>
        <v>THAIS</v>
      </c>
      <c r="O18" s="18" t="str">
        <f>IFERROR(VLOOKUP(J18,'torre março'!$A$25:$V$61,8),"-")</f>
        <v>ALLAN</v>
      </c>
      <c r="P18" s="18" t="str">
        <f>IFERROR(VLOOKUP(J18,'torre março'!$A$25:$V$61,10),"-")</f>
        <v>GUILHERME</v>
      </c>
      <c r="Q18" s="18" t="str">
        <f>IFERROR(VLOOKUP(J18,'torre março'!$A$25:$V$62,12),"-")</f>
        <v>-</v>
      </c>
      <c r="R18" s="18" t="str">
        <f>IFERROR(VLOOKUP(J18,'torre março'!$A$25:$V$62,14),"-")</f>
        <v>-</v>
      </c>
      <c r="S18" s="18" t="str">
        <f>IFERROR(VLOOKUP(J18,'torre março'!$A$25:$V$61,16),"-")</f>
        <v>EDUARDO</v>
      </c>
      <c r="T18" s="18" t="str">
        <f>IFERROR(VLOOKUP(J18,'torre março'!$A$25:$V$61,18),"-")</f>
        <v>RICHER</v>
      </c>
      <c r="U18" s="18" t="str">
        <f>IFERROR(VLOOKUP(J18,'torre março'!$A$25:$V$61,20),"-")</f>
        <v>MARCO</v>
      </c>
      <c r="V18" s="24" t="str">
        <f>IFERROR(VLOOKUP(J18,'torre março'!$A$25:$V$61,22),"-")</f>
        <v>BRANCÃO</v>
      </c>
      <c r="X18" s="50" t="s">
        <v>10</v>
      </c>
      <c r="Y18" s="25" t="str">
        <f>'torre março'!G10</f>
        <v>VITORIA</v>
      </c>
      <c r="Z18" s="19">
        <f t="shared" si="2"/>
        <v>4</v>
      </c>
      <c r="AA18" s="19">
        <f t="shared" si="3"/>
        <v>4</v>
      </c>
      <c r="AB18" s="19">
        <f t="shared" si="4"/>
        <v>5</v>
      </c>
      <c r="AC18" s="19">
        <f t="shared" si="5"/>
        <v>8</v>
      </c>
      <c r="AD18" s="19">
        <f t="shared" si="6"/>
        <v>21</v>
      </c>
      <c r="AE18" s="19">
        <f t="shared" si="7"/>
        <v>10</v>
      </c>
    </row>
    <row r="19" spans="10:31" ht="22.5" customHeight="1" x14ac:dyDescent="0.25">
      <c r="J19" s="175">
        <v>46090</v>
      </c>
      <c r="K19" s="18">
        <f t="shared" si="0"/>
        <v>1</v>
      </c>
      <c r="L19" s="18" t="str">
        <f t="shared" si="1"/>
        <v>SEGUNDA</v>
      </c>
      <c r="M19" s="18" t="str">
        <f>IFERROR(VLOOKUP(J19,'torre março'!$A$25:$V$61,4),"-")</f>
        <v>B.SELAYARAN</v>
      </c>
      <c r="N19" s="18" t="str">
        <f>IFERROR(VLOOKUP(J19,'torre março'!$A$25:$V$61,6),"-")</f>
        <v>FELIPE</v>
      </c>
      <c r="O19" s="18" t="str">
        <f>IFERROR(VLOOKUP(J19,'torre março'!$A$25:$V$61,8),"-")</f>
        <v>B.MACHADO</v>
      </c>
      <c r="P19" s="18" t="str">
        <f>IFERROR(VLOOKUP(J19,'torre março'!$A$25:$V$61,10),"-")</f>
        <v>GUILHERME</v>
      </c>
      <c r="Q19" s="18" t="str">
        <f>IFERROR(VLOOKUP(J19,'torre março'!$A$25:$V$62,12),"-")</f>
        <v>-</v>
      </c>
      <c r="R19" s="18" t="str">
        <f>IFERROR(VLOOKUP(J19,'torre março'!$A$25:$V$62,14),"-")</f>
        <v>-</v>
      </c>
      <c r="S19" s="18" t="str">
        <f>IFERROR(VLOOKUP(J19,'torre março'!$A$25:$V$61,16),"-")</f>
        <v>EDUARDO</v>
      </c>
      <c r="T19" s="18" t="str">
        <f>IFERROR(VLOOKUP(J19,'torre março'!$A$25:$V$61,18),"-")</f>
        <v>VITORIA</v>
      </c>
      <c r="U19" s="18" t="str">
        <f>IFERROR(VLOOKUP(J19,'torre março'!$A$25:$V$61,20),"-")</f>
        <v>RODRIGO</v>
      </c>
      <c r="V19" s="24" t="str">
        <f>IFERROR(VLOOKUP(J19,'torre março'!$A$25:$V$61,22),"-")</f>
        <v>BRANCÃO</v>
      </c>
      <c r="X19" s="50" t="s">
        <v>4</v>
      </c>
      <c r="Y19" s="25" t="str">
        <f>'torre março'!G11</f>
        <v>BRANCÃO</v>
      </c>
      <c r="Z19" s="19">
        <f t="shared" si="2"/>
        <v>7</v>
      </c>
      <c r="AA19" s="19">
        <f t="shared" si="3"/>
        <v>4</v>
      </c>
      <c r="AB19" s="19">
        <f t="shared" si="4"/>
        <v>4</v>
      </c>
      <c r="AC19" s="19">
        <f t="shared" si="5"/>
        <v>5</v>
      </c>
      <c r="AD19" s="19">
        <f t="shared" si="6"/>
        <v>20</v>
      </c>
      <c r="AE19" s="19">
        <f t="shared" si="7"/>
        <v>11</v>
      </c>
    </row>
    <row r="20" spans="10:31" ht="22.5" customHeight="1" x14ac:dyDescent="0.25">
      <c r="J20" s="175">
        <v>46091</v>
      </c>
      <c r="K20" s="18">
        <f t="shared" si="0"/>
        <v>2</v>
      </c>
      <c r="L20" s="18" t="str">
        <f t="shared" si="1"/>
        <v>TERÇA</v>
      </c>
      <c r="M20" s="18" t="str">
        <f>IFERROR(VLOOKUP(J20,'torre março'!$A$25:$V$61,4),"-")</f>
        <v>B.SELAYARAN</v>
      </c>
      <c r="N20" s="18" t="str">
        <f>IFERROR(VLOOKUP(J20,'torre março'!$A$25:$V$61,6),"-")</f>
        <v>FELIPE</v>
      </c>
      <c r="O20" s="18" t="str">
        <f>IFERROR(VLOOKUP(J20,'torre março'!$A$25:$V$61,8),"-")</f>
        <v>B.MACHADO</v>
      </c>
      <c r="P20" s="18" t="str">
        <f>IFERROR(VLOOKUP(J20,'torre março'!$A$25:$V$61,10),"-")</f>
        <v>GUILHERME</v>
      </c>
      <c r="Q20" s="18" t="str">
        <f>IFERROR(VLOOKUP(J20,'torre março'!$A$25:$V$62,12),"-")</f>
        <v>CLEITON</v>
      </c>
      <c r="R20" s="18" t="str">
        <f>IFERROR(VLOOKUP(J20,'torre março'!$A$25:$V$62,14),"-")</f>
        <v>TONINHO</v>
      </c>
      <c r="S20" s="18" t="str">
        <f>IFERROR(VLOOKUP(J20,'torre março'!$A$25:$V$61,16),"-")</f>
        <v>EDUARDO</v>
      </c>
      <c r="T20" s="18" t="str">
        <f>IFERROR(VLOOKUP(J20,'torre março'!$A$25:$V$61,18),"-")</f>
        <v>VITORIA</v>
      </c>
      <c r="U20" s="18" t="str">
        <f>IFERROR(VLOOKUP(J20,'torre março'!$A$25:$V$61,20),"-")</f>
        <v>RODRIGO</v>
      </c>
      <c r="V20" s="24" t="str">
        <f>IFERROR(VLOOKUP(J20,'torre março'!$A$25:$V$61,22),"-")</f>
        <v>BRANCÃO</v>
      </c>
      <c r="X20" s="50" t="s">
        <v>28</v>
      </c>
      <c r="Y20" s="25" t="str">
        <f>'torre março'!G12</f>
        <v>THAIS</v>
      </c>
      <c r="Z20" s="19">
        <f t="shared" si="2"/>
        <v>7</v>
      </c>
      <c r="AA20" s="19">
        <f t="shared" si="3"/>
        <v>6</v>
      </c>
      <c r="AB20" s="19">
        <f t="shared" si="4"/>
        <v>4</v>
      </c>
      <c r="AC20" s="19">
        <f t="shared" si="5"/>
        <v>4</v>
      </c>
      <c r="AD20" s="19">
        <f t="shared" si="6"/>
        <v>21</v>
      </c>
      <c r="AE20" s="19">
        <f t="shared" si="7"/>
        <v>10</v>
      </c>
    </row>
    <row r="21" spans="10:31" ht="22.5" customHeight="1" x14ac:dyDescent="0.25">
      <c r="J21" s="175">
        <v>46092</v>
      </c>
      <c r="K21" s="18">
        <f t="shared" si="0"/>
        <v>3</v>
      </c>
      <c r="L21" s="18" t="str">
        <f t="shared" si="1"/>
        <v>QUARTA</v>
      </c>
      <c r="M21" s="18" t="str">
        <f>IFERROR(VLOOKUP(J21,'torre março'!$A$25:$V$61,4),"-")</f>
        <v>ALLAN</v>
      </c>
      <c r="N21" s="18" t="str">
        <f>IFERROR(VLOOKUP(J21,'torre março'!$A$25:$V$61,6),"-")</f>
        <v>FELIPE</v>
      </c>
      <c r="O21" s="18" t="str">
        <f>IFERROR(VLOOKUP(J21,'torre março'!$A$25:$V$61,8),"-")</f>
        <v>B.MACHADO</v>
      </c>
      <c r="P21" s="18" t="str">
        <f>IFERROR(VLOOKUP(J21,'torre março'!$A$25:$V$61,10),"-")</f>
        <v>RICHER</v>
      </c>
      <c r="Q21" s="18" t="str">
        <f>IFERROR(VLOOKUP(J21,'torre março'!$A$25:$V$62,12),"-")</f>
        <v>CLEITON</v>
      </c>
      <c r="R21" s="18" t="str">
        <f>IFERROR(VLOOKUP(J21,'torre março'!$A$25:$V$62,14),"-")</f>
        <v>TONINHO</v>
      </c>
      <c r="S21" s="18" t="str">
        <f>IFERROR(VLOOKUP(J21,'torre março'!$A$25:$V$61,16),"-")</f>
        <v>MARCO</v>
      </c>
      <c r="T21" s="18" t="str">
        <f>IFERROR(VLOOKUP(J21,'torre março'!$A$25:$V$61,18),"-")</f>
        <v>VITORIA</v>
      </c>
      <c r="U21" s="18" t="str">
        <f>IFERROR(VLOOKUP(J21,'torre março'!$A$25:$V$61,20),"-")</f>
        <v>RODRIGO</v>
      </c>
      <c r="V21" s="24" t="str">
        <f>IFERROR(VLOOKUP(J21,'torre março'!$A$25:$V$61,22),"-")</f>
        <v>THAIS</v>
      </c>
      <c r="X21" s="50" t="s">
        <v>6</v>
      </c>
      <c r="Y21" s="25" t="str">
        <f>'torre março'!G13</f>
        <v>FELIPE</v>
      </c>
      <c r="Z21" s="19">
        <f t="shared" si="2"/>
        <v>5</v>
      </c>
      <c r="AA21" s="19">
        <f t="shared" si="3"/>
        <v>8</v>
      </c>
      <c r="AB21" s="19">
        <f t="shared" si="4"/>
        <v>4</v>
      </c>
      <c r="AC21" s="19">
        <f t="shared" si="5"/>
        <v>4</v>
      </c>
      <c r="AD21" s="19">
        <f t="shared" si="6"/>
        <v>21</v>
      </c>
      <c r="AE21" s="19">
        <f t="shared" si="7"/>
        <v>10</v>
      </c>
    </row>
    <row r="22" spans="10:31" ht="22.5" customHeight="1" x14ac:dyDescent="0.25">
      <c r="J22" s="175">
        <v>46093</v>
      </c>
      <c r="K22" s="18">
        <f t="shared" si="0"/>
        <v>4</v>
      </c>
      <c r="L22" s="18" t="str">
        <f t="shared" si="1"/>
        <v>QUINTA</v>
      </c>
      <c r="M22" s="18" t="str">
        <f>IFERROR(VLOOKUP(J22,'torre março'!$A$25:$V$61,4),"-")</f>
        <v>ALLAN</v>
      </c>
      <c r="N22" s="18" t="str">
        <f>IFERROR(VLOOKUP(J22,'torre março'!$A$25:$V$61,6),"-")</f>
        <v>FELIPE</v>
      </c>
      <c r="O22" s="18" t="str">
        <f>IFERROR(VLOOKUP(J22,'torre março'!$A$25:$V$61,8),"-")</f>
        <v>B.MACHADO</v>
      </c>
      <c r="P22" s="18" t="str">
        <f>IFERROR(VLOOKUP(J22,'torre março'!$A$25:$V$61,10),"-")</f>
        <v>RICHER</v>
      </c>
      <c r="Q22" s="18" t="str">
        <f>IFERROR(VLOOKUP(J22,'torre março'!$A$25:$V$62,12),"-")</f>
        <v>CLEITON</v>
      </c>
      <c r="R22" s="18" t="str">
        <f>IFERROR(VLOOKUP(J22,'torre março'!$A$25:$V$62,14),"-")</f>
        <v>TONINHO</v>
      </c>
      <c r="S22" s="18" t="str">
        <f>IFERROR(VLOOKUP(J22,'torre março'!$A$25:$V$61,16),"-")</f>
        <v>MARCO</v>
      </c>
      <c r="T22" s="18" t="str">
        <f>IFERROR(VLOOKUP(J22,'torre março'!$A$25:$V$61,18),"-")</f>
        <v>VITORIA</v>
      </c>
      <c r="U22" s="18" t="str">
        <f>IFERROR(VLOOKUP(J22,'torre março'!$A$25:$V$61,20),"-")</f>
        <v>RODRIGO</v>
      </c>
      <c r="V22" s="24" t="str">
        <f>IFERROR(VLOOKUP(J22,'torre março'!$A$25:$V$61,22),"-")</f>
        <v>THAIS</v>
      </c>
      <c r="X22" s="50" t="s">
        <v>59</v>
      </c>
      <c r="Y22" s="25" t="str">
        <f>'torre março'!G14</f>
        <v>GUILHERME</v>
      </c>
      <c r="Z22" s="19">
        <f t="shared" si="2"/>
        <v>4</v>
      </c>
      <c r="AA22" s="19">
        <f t="shared" si="3"/>
        <v>5</v>
      </c>
      <c r="AB22" s="19">
        <f t="shared" si="4"/>
        <v>7</v>
      </c>
      <c r="AC22" s="19">
        <f t="shared" si="5"/>
        <v>4</v>
      </c>
      <c r="AD22" s="19">
        <f t="shared" si="6"/>
        <v>20</v>
      </c>
      <c r="AE22" s="19">
        <f t="shared" si="7"/>
        <v>11</v>
      </c>
    </row>
    <row r="23" spans="10:31" ht="22.5" customHeight="1" x14ac:dyDescent="0.25">
      <c r="J23" s="175">
        <v>46094</v>
      </c>
      <c r="K23" s="18">
        <f t="shared" si="0"/>
        <v>5</v>
      </c>
      <c r="L23" s="18" t="str">
        <f t="shared" si="1"/>
        <v>SEXTA</v>
      </c>
      <c r="M23" s="18" t="str">
        <f>IFERROR(VLOOKUP(J23,'torre março'!$A$25:$V$61,4),"-")</f>
        <v>ALLAN</v>
      </c>
      <c r="N23" s="18" t="str">
        <f>IFERROR(VLOOKUP(J23,'torre março'!$A$25:$V$61,6),"-")</f>
        <v>GUILHERME</v>
      </c>
      <c r="O23" s="18" t="str">
        <f>IFERROR(VLOOKUP(J23,'torre março'!$A$25:$V$61,8),"-")</f>
        <v>EDUARDO</v>
      </c>
      <c r="P23" s="18" t="str">
        <f>IFERROR(VLOOKUP(J23,'torre março'!$A$25:$V$61,10),"-")</f>
        <v>RICHER</v>
      </c>
      <c r="Q23" s="18" t="str">
        <f>IFERROR(VLOOKUP(J23,'torre março'!$A$25:$V$62,12),"-")</f>
        <v>CLEITON</v>
      </c>
      <c r="R23" s="18" t="str">
        <f>IFERROR(VLOOKUP(J23,'torre março'!$A$25:$V$62,14),"-")</f>
        <v>TONINHO</v>
      </c>
      <c r="S23" s="18" t="str">
        <f>IFERROR(VLOOKUP(J23,'torre março'!$A$25:$V$61,16),"-")</f>
        <v>MARCO</v>
      </c>
      <c r="T23" s="18" t="str">
        <f>IFERROR(VLOOKUP(J23,'torre março'!$A$25:$V$61,18),"-")</f>
        <v>BRANCÃO</v>
      </c>
      <c r="U23" s="18" t="str">
        <f>IFERROR(VLOOKUP(J23,'torre março'!$A$25:$V$61,20),"-")</f>
        <v>B.SELAYARAN</v>
      </c>
      <c r="V23" s="24" t="str">
        <f>IFERROR(VLOOKUP(J23,'torre março'!$A$25:$V$61,22),"-")</f>
        <v>THAIS</v>
      </c>
      <c r="X23" s="50" t="s">
        <v>95</v>
      </c>
      <c r="Y23" s="25" t="str">
        <f>'torre março'!G15</f>
        <v>RICHER</v>
      </c>
      <c r="Z23" s="19">
        <f t="shared" si="2"/>
        <v>4</v>
      </c>
      <c r="AA23" s="19">
        <f t="shared" si="3"/>
        <v>4</v>
      </c>
      <c r="AB23" s="19">
        <f t="shared" si="4"/>
        <v>7</v>
      </c>
      <c r="AC23" s="19">
        <f t="shared" si="5"/>
        <v>6</v>
      </c>
      <c r="AD23" s="19">
        <f t="shared" si="6"/>
        <v>21</v>
      </c>
      <c r="AE23" s="19">
        <f t="shared" si="7"/>
        <v>10</v>
      </c>
    </row>
    <row r="24" spans="10:31" ht="22.5" customHeight="1" x14ac:dyDescent="0.25">
      <c r="J24" s="175">
        <v>46095</v>
      </c>
      <c r="K24" s="18">
        <f t="shared" si="0"/>
        <v>6</v>
      </c>
      <c r="L24" s="18" t="str">
        <f t="shared" si="1"/>
        <v>SABADO</v>
      </c>
      <c r="M24" s="18" t="str">
        <f>IFERROR(VLOOKUP(J24,'torre março'!$A$25:$V$61,4),"-")</f>
        <v>ALLAN</v>
      </c>
      <c r="N24" s="18" t="str">
        <f>IFERROR(VLOOKUP(J24,'torre março'!$A$25:$V$61,6),"-")</f>
        <v>GUILHERME</v>
      </c>
      <c r="O24" s="18" t="str">
        <f>IFERROR(VLOOKUP(J24,'torre março'!$A$25:$V$61,8),"-")</f>
        <v>EDUARDO</v>
      </c>
      <c r="P24" s="18" t="str">
        <f>IFERROR(VLOOKUP(J24,'torre março'!$A$25:$V$61,10),"-")</f>
        <v>RICHER</v>
      </c>
      <c r="Q24" s="18" t="str">
        <f>IFERROR(VLOOKUP(J24,'torre março'!$A$25:$V$62,12),"-")</f>
        <v>TONINHO</v>
      </c>
      <c r="R24" s="18" t="str">
        <f>IFERROR(VLOOKUP(J24,'torre março'!$A$25:$V$62,14),"-")</f>
        <v>CLEITON</v>
      </c>
      <c r="S24" s="18" t="str">
        <f>IFERROR(VLOOKUP(J24,'torre março'!$A$25:$V$61,16),"-")</f>
        <v>MARCO</v>
      </c>
      <c r="T24" s="18" t="str">
        <f>IFERROR(VLOOKUP(J24,'torre março'!$A$25:$V$61,18),"-")</f>
        <v>BRANCÃO</v>
      </c>
      <c r="U24" s="18" t="str">
        <f>IFERROR(VLOOKUP(J24,'torre março'!$A$25:$V$61,20),"-")</f>
        <v>B.SELAYARAN</v>
      </c>
      <c r="V24" s="24" t="str">
        <f>IFERROR(VLOOKUP(J24,'torre março'!$A$25:$V$61,22),"-")</f>
        <v>THAIS</v>
      </c>
      <c r="X24" s="50" t="s">
        <v>99</v>
      </c>
      <c r="Y24" s="25">
        <f>'torre março'!G16</f>
        <v>0</v>
      </c>
      <c r="Z24" s="19">
        <f t="shared" si="2"/>
        <v>0</v>
      </c>
      <c r="AA24" s="19">
        <f t="shared" si="3"/>
        <v>0</v>
      </c>
      <c r="AB24" s="19">
        <f t="shared" si="4"/>
        <v>0</v>
      </c>
      <c r="AC24" s="19">
        <f t="shared" si="5"/>
        <v>0</v>
      </c>
      <c r="AD24" s="19">
        <f t="shared" si="6"/>
        <v>0</v>
      </c>
      <c r="AE24" s="19">
        <f t="shared" si="7"/>
        <v>31</v>
      </c>
    </row>
    <row r="25" spans="10:31" ht="22.5" customHeight="1" x14ac:dyDescent="0.25">
      <c r="J25" s="175">
        <v>46096</v>
      </c>
      <c r="K25" s="18">
        <f t="shared" si="0"/>
        <v>7</v>
      </c>
      <c r="L25" s="18" t="str">
        <f t="shared" si="1"/>
        <v>DOMINGO</v>
      </c>
      <c r="M25" s="18" t="str">
        <f>IFERROR(VLOOKUP(J25,'torre março'!$A$25:$V$61,4),"-")</f>
        <v>B.MACHADO</v>
      </c>
      <c r="N25" s="18" t="str">
        <f>IFERROR(VLOOKUP(J25,'torre março'!$A$25:$V$61,6),"-")</f>
        <v>GUILHERME</v>
      </c>
      <c r="O25" s="18" t="str">
        <f>IFERROR(VLOOKUP(J25,'torre março'!$A$25:$V$61,8),"-")</f>
        <v>EDUARDO</v>
      </c>
      <c r="P25" s="18" t="str">
        <f>IFERROR(VLOOKUP(J25,'torre março'!$A$25:$V$61,10),"-")</f>
        <v>VITORIA</v>
      </c>
      <c r="Q25" s="18" t="str">
        <f>IFERROR(VLOOKUP(J25,'torre março'!$A$25:$V$62,12),"-")</f>
        <v>-</v>
      </c>
      <c r="R25" s="18" t="str">
        <f>IFERROR(VLOOKUP(J25,'torre março'!$A$25:$V$62,14),"-")</f>
        <v>-</v>
      </c>
      <c r="S25" s="18" t="str">
        <f>IFERROR(VLOOKUP(J25,'torre março'!$A$25:$V$61,16),"-")</f>
        <v>RODRIGO</v>
      </c>
      <c r="T25" s="18" t="str">
        <f>IFERROR(VLOOKUP(J25,'torre março'!$A$25:$V$61,18),"-")</f>
        <v>BRANCÃO</v>
      </c>
      <c r="U25" s="18" t="str">
        <f>IFERROR(VLOOKUP(J25,'torre março'!$A$25:$V$61,20),"-")</f>
        <v>B.SELAYARAN</v>
      </c>
      <c r="V25" s="24" t="str">
        <f>IFERROR(VLOOKUP(J25,'torre março'!$A$25:$V$61,22),"-")</f>
        <v>FELIPE</v>
      </c>
      <c r="X25" s="78" t="s">
        <v>62</v>
      </c>
      <c r="Y25" s="25" t="str">
        <f>'torre março'!G17</f>
        <v>TONINHO</v>
      </c>
      <c r="Z25" s="19" t="s">
        <v>68</v>
      </c>
      <c r="AA25" s="19">
        <f>COUNTIF($Q$11:$Q$42,Y25)</f>
        <v>4</v>
      </c>
      <c r="AB25" s="19">
        <f>COUNTIF($R$11:$R$42,Y25)</f>
        <v>17</v>
      </c>
      <c r="AC25" s="19" t="str">
        <f>'torre março'!K17</f>
        <v>-</v>
      </c>
      <c r="AD25" s="19">
        <f t="shared" si="6"/>
        <v>21</v>
      </c>
      <c r="AE25" s="19">
        <f t="shared" si="7"/>
        <v>10</v>
      </c>
    </row>
    <row r="26" spans="10:31" ht="22.5" customHeight="1" x14ac:dyDescent="0.25">
      <c r="J26" s="175">
        <v>46097</v>
      </c>
      <c r="K26" s="18">
        <f t="shared" si="0"/>
        <v>1</v>
      </c>
      <c r="L26" s="18" t="str">
        <f t="shared" si="1"/>
        <v>SEGUNDA</v>
      </c>
      <c r="M26" s="18" t="str">
        <f>IFERROR(VLOOKUP(J26,'torre março'!$A$25:$V$61,4),"-")</f>
        <v>B.MACHADO</v>
      </c>
      <c r="N26" s="18" t="str">
        <f>IFERROR(VLOOKUP(J26,'torre março'!$A$25:$V$61,6),"-")</f>
        <v>GUILHERME</v>
      </c>
      <c r="O26" s="18" t="str">
        <f>IFERROR(VLOOKUP(J26,'torre março'!$A$25:$V$61,8),"-")</f>
        <v>EDUARDO</v>
      </c>
      <c r="P26" s="18" t="str">
        <f>IFERROR(VLOOKUP(J26,'torre março'!$A$25:$V$61,10),"-")</f>
        <v>VITORIA</v>
      </c>
      <c r="Q26" s="18" t="str">
        <f>IFERROR(VLOOKUP(J26,'torre março'!$A$25:$V$62,12),"-")</f>
        <v>-</v>
      </c>
      <c r="R26" s="18" t="str">
        <f>IFERROR(VLOOKUP(J26,'torre março'!$A$25:$V$62,14),"-")</f>
        <v>-</v>
      </c>
      <c r="S26" s="18" t="str">
        <f>IFERROR(VLOOKUP(J26,'torre março'!$A$25:$V$61,16),"-")</f>
        <v>RODRIGO</v>
      </c>
      <c r="T26" s="18" t="str">
        <f>IFERROR(VLOOKUP(J26,'torre março'!$A$25:$V$61,18),"-")</f>
        <v>BRANCÃO</v>
      </c>
      <c r="U26" s="18" t="str">
        <f>IFERROR(VLOOKUP(J26,'torre março'!$A$25:$V$61,20),"-")</f>
        <v>B.SELAYARAN</v>
      </c>
      <c r="V26" s="24" t="str">
        <f>IFERROR(VLOOKUP(J26,'torre março'!$A$25:$V$61,22),"-")</f>
        <v>FELIPE</v>
      </c>
      <c r="X26" s="78" t="s">
        <v>63</v>
      </c>
      <c r="Y26" s="25" t="str">
        <f>'torre março'!G18</f>
        <v>CLEITON</v>
      </c>
      <c r="Z26" s="19" t="s">
        <v>68</v>
      </c>
      <c r="AA26" s="19">
        <f>COUNTIF($Q$11:$Q$42,Y26)</f>
        <v>17</v>
      </c>
      <c r="AB26" s="19">
        <f>COUNTIF($R$11:$R$42,Y26)</f>
        <v>4</v>
      </c>
      <c r="AC26" s="19" t="str">
        <f>'torre março'!K18</f>
        <v>-</v>
      </c>
      <c r="AD26" s="19">
        <f t="shared" si="6"/>
        <v>21</v>
      </c>
      <c r="AE26" s="19">
        <f t="shared" si="7"/>
        <v>10</v>
      </c>
    </row>
    <row r="27" spans="10:31" ht="22.5" customHeight="1" x14ac:dyDescent="0.25">
      <c r="J27" s="175">
        <v>46098</v>
      </c>
      <c r="K27" s="18">
        <f t="shared" si="0"/>
        <v>2</v>
      </c>
      <c r="L27" s="18" t="str">
        <f t="shared" si="1"/>
        <v>TERÇA</v>
      </c>
      <c r="M27" s="18" t="str">
        <f>IFERROR(VLOOKUP(J27,'torre março'!$A$25:$V$61,4),"-")</f>
        <v>B.MACHADO</v>
      </c>
      <c r="N27" s="18" t="str">
        <f>IFERROR(VLOOKUP(J27,'torre março'!$A$25:$V$61,6),"-")</f>
        <v>RICHER</v>
      </c>
      <c r="O27" s="18" t="str">
        <f>IFERROR(VLOOKUP(J27,'torre março'!$A$25:$V$61,8),"-")</f>
        <v>MARCO</v>
      </c>
      <c r="P27" s="18" t="str">
        <f>IFERROR(VLOOKUP(J27,'torre março'!$A$25:$V$61,10),"-")</f>
        <v>VITORIA</v>
      </c>
      <c r="Q27" s="18" t="str">
        <f>IFERROR(VLOOKUP(J27,'torre março'!$A$25:$V$62,12),"-")</f>
        <v>CLEITON</v>
      </c>
      <c r="R27" s="18" t="str">
        <f>IFERROR(VLOOKUP(J27,'torre março'!$A$25:$V$62,14),"-")</f>
        <v>TONINHO</v>
      </c>
      <c r="S27" s="18" t="str">
        <f>IFERROR(VLOOKUP(J27,'torre março'!$A$25:$V$61,16),"-")</f>
        <v>RODRIGO</v>
      </c>
      <c r="T27" s="18" t="str">
        <f>IFERROR(VLOOKUP(J27,'torre março'!$A$25:$V$61,18),"-")</f>
        <v>THAIS</v>
      </c>
      <c r="U27" s="18" t="str">
        <f>IFERROR(VLOOKUP(J27,'torre março'!$A$25:$V$61,20),"-")</f>
        <v>ALLAN</v>
      </c>
      <c r="V27" s="24" t="str">
        <f>IFERROR(VLOOKUP(J27,'torre março'!$A$25:$V$61,22),"-")</f>
        <v>FELIPE</v>
      </c>
    </row>
    <row r="28" spans="10:31" ht="22.5" customHeight="1" x14ac:dyDescent="0.25">
      <c r="J28" s="175">
        <v>46099</v>
      </c>
      <c r="K28" s="18">
        <f t="shared" si="0"/>
        <v>3</v>
      </c>
      <c r="L28" s="18" t="str">
        <f t="shared" si="1"/>
        <v>QUARTA</v>
      </c>
      <c r="M28" s="18" t="str">
        <f>IFERROR(VLOOKUP(J28,'torre março'!$A$25:$V$61,4),"-")</f>
        <v>B.MACHADO</v>
      </c>
      <c r="N28" s="18" t="str">
        <f>IFERROR(VLOOKUP(J28,'torre março'!$A$25:$V$61,6),"-")</f>
        <v>RICHER</v>
      </c>
      <c r="O28" s="18" t="str">
        <f>IFERROR(VLOOKUP(J28,'torre março'!$A$25:$V$61,8),"-")</f>
        <v>MARCO</v>
      </c>
      <c r="P28" s="18" t="str">
        <f>IFERROR(VLOOKUP(J28,'torre março'!$A$25:$V$61,10),"-")</f>
        <v>VITORIA</v>
      </c>
      <c r="Q28" s="18" t="str">
        <f>IFERROR(VLOOKUP(J28,'torre março'!$A$25:$V$62,12),"-")</f>
        <v>CLEITON</v>
      </c>
      <c r="R28" s="18" t="str">
        <f>IFERROR(VLOOKUP(J28,'torre março'!$A$25:$V$62,14),"-")</f>
        <v>TONINHO</v>
      </c>
      <c r="S28" s="18" t="str">
        <f>IFERROR(VLOOKUP(J28,'torre março'!$A$25:$V$61,16),"-")</f>
        <v>RODRIGO</v>
      </c>
      <c r="T28" s="18" t="str">
        <f>IFERROR(VLOOKUP(J28,'torre março'!$A$25:$V$61,18),"-")</f>
        <v>THAIS</v>
      </c>
      <c r="U28" s="18" t="str">
        <f>IFERROR(VLOOKUP(J28,'torre março'!$A$25:$V$61,20),"-")</f>
        <v>ALLAN</v>
      </c>
      <c r="V28" s="24" t="str">
        <f>IFERROR(VLOOKUP(J28,'torre março'!$A$25:$V$61,22),"-")</f>
        <v>FELIPE</v>
      </c>
    </row>
    <row r="29" spans="10:31" ht="22.5" customHeight="1" x14ac:dyDescent="0.25">
      <c r="J29" s="175">
        <v>46100</v>
      </c>
      <c r="K29" s="18">
        <f t="shared" si="0"/>
        <v>4</v>
      </c>
      <c r="L29" s="18" t="str">
        <f t="shared" si="1"/>
        <v>QUINTA</v>
      </c>
      <c r="M29" s="18" t="str">
        <f>IFERROR(VLOOKUP(J29,'torre março'!$A$25:$V$61,4),"-")</f>
        <v>EDUARDO</v>
      </c>
      <c r="N29" s="18" t="str">
        <f>IFERROR(VLOOKUP(J29,'torre março'!$A$25:$V$61,6),"-")</f>
        <v>RICHER</v>
      </c>
      <c r="O29" s="18" t="str">
        <f>IFERROR(VLOOKUP(J29,'torre março'!$A$25:$V$61,8),"-")</f>
        <v>MARCO</v>
      </c>
      <c r="P29" s="18" t="str">
        <f>IFERROR(VLOOKUP(J29,'torre março'!$A$25:$V$61,10),"-")</f>
        <v>BRANCÃO</v>
      </c>
      <c r="Q29" s="18" t="str">
        <f>IFERROR(VLOOKUP(J29,'torre março'!$A$25:$V$62,12),"-")</f>
        <v>CLEITON</v>
      </c>
      <c r="R29" s="18" t="str">
        <f>IFERROR(VLOOKUP(J29,'torre março'!$A$25:$V$62,14),"-")</f>
        <v>TONINHO</v>
      </c>
      <c r="S29" s="18" t="str">
        <f>IFERROR(VLOOKUP(J29,'torre março'!$A$25:$V$61,16),"-")</f>
        <v>B.SELAYARAN</v>
      </c>
      <c r="T29" s="18" t="str">
        <f>IFERROR(VLOOKUP(J29,'torre março'!$A$25:$V$61,18),"-")</f>
        <v>THAIS</v>
      </c>
      <c r="U29" s="18" t="str">
        <f>IFERROR(VLOOKUP(J29,'torre março'!$A$25:$V$61,20),"-")</f>
        <v>ALLAN</v>
      </c>
      <c r="V29" s="24" t="str">
        <f>IFERROR(VLOOKUP(J29,'torre março'!$A$25:$V$61,22),"-")</f>
        <v>GUILHERME</v>
      </c>
    </row>
    <row r="30" spans="10:31" ht="22.5" customHeight="1" x14ac:dyDescent="0.25">
      <c r="J30" s="175">
        <v>46101</v>
      </c>
      <c r="K30" s="18">
        <f t="shared" si="0"/>
        <v>5</v>
      </c>
      <c r="L30" s="18" t="str">
        <f t="shared" si="1"/>
        <v>SEXTA</v>
      </c>
      <c r="M30" s="18" t="str">
        <f>IFERROR(VLOOKUP(J30,'torre março'!$A$25:$V$61,4),"-")</f>
        <v>EDUARDO</v>
      </c>
      <c r="N30" s="18" t="str">
        <f>IFERROR(VLOOKUP(J30,'torre março'!$A$25:$V$61,6),"-")</f>
        <v>RICHER</v>
      </c>
      <c r="O30" s="18" t="str">
        <f>IFERROR(VLOOKUP(J30,'torre março'!$A$25:$V$61,8),"-")</f>
        <v>MARCO</v>
      </c>
      <c r="P30" s="18" t="str">
        <f>IFERROR(VLOOKUP(J30,'torre março'!$A$25:$V$61,10),"-")</f>
        <v>BRANCÃO</v>
      </c>
      <c r="Q30" s="18" t="str">
        <f>IFERROR(VLOOKUP(J30,'torre março'!$A$25:$V$62,12),"-")</f>
        <v>CLEITON</v>
      </c>
      <c r="R30" s="18" t="str">
        <f>IFERROR(VLOOKUP(J30,'torre março'!$A$25:$V$62,14),"-")</f>
        <v>TONINHO</v>
      </c>
      <c r="S30" s="18" t="str">
        <f>IFERROR(VLOOKUP(J30,'torre março'!$A$25:$V$61,16),"-")</f>
        <v>B.SELAYARAN</v>
      </c>
      <c r="T30" s="18" t="str">
        <f>IFERROR(VLOOKUP(J30,'torre março'!$A$25:$V$61,18),"-")</f>
        <v>THAIS</v>
      </c>
      <c r="U30" s="18" t="str">
        <f>IFERROR(VLOOKUP(J30,'torre março'!$A$25:$V$61,20),"-")</f>
        <v>ALLAN</v>
      </c>
      <c r="V30" s="24" t="str">
        <f>IFERROR(VLOOKUP(J30,'torre março'!$A$25:$V$61,22),"-")</f>
        <v>GUILHERME</v>
      </c>
      <c r="X30" s="155" t="e" cm="1">
        <f t="array" aca="1" ref="X30" ca="1">CountCcolor(M11:V41,X30)</f>
        <v>#NAME?</v>
      </c>
      <c r="Y30" s="217" t="e">
        <f ca="1">X30+X31</f>
        <v>#NAME?</v>
      </c>
    </row>
    <row r="31" spans="10:31" ht="22.5" customHeight="1" x14ac:dyDescent="0.25">
      <c r="J31" s="175">
        <v>46102</v>
      </c>
      <c r="K31" s="18">
        <f t="shared" si="0"/>
        <v>6</v>
      </c>
      <c r="L31" s="18" t="str">
        <f t="shared" si="1"/>
        <v>SABADO</v>
      </c>
      <c r="M31" s="18" t="str">
        <f>IFERROR(VLOOKUP(J31,'torre março'!$A$25:$V$61,4),"-")</f>
        <v>EDUARDO</v>
      </c>
      <c r="N31" s="18" t="str">
        <f>IFERROR(VLOOKUP(J31,'torre março'!$A$25:$V$61,6),"-")</f>
        <v>VITORIA</v>
      </c>
      <c r="O31" s="18" t="str">
        <f>IFERROR(VLOOKUP(J31,'torre março'!$A$25:$V$61,8),"-")</f>
        <v>RODRIGO</v>
      </c>
      <c r="P31" s="18" t="str">
        <f>IFERROR(VLOOKUP(J31,'torre março'!$A$25:$V$61,10),"-")</f>
        <v>BRANCÃO</v>
      </c>
      <c r="Q31" s="18" t="str">
        <f>IFERROR(VLOOKUP(J31,'torre março'!$A$25:$V$62,12),"-")</f>
        <v>TONINHO</v>
      </c>
      <c r="R31" s="18" t="str">
        <f>IFERROR(VLOOKUP(J31,'torre março'!$A$25:$V$62,14),"-")</f>
        <v>CLEITON</v>
      </c>
      <c r="S31" s="18" t="str">
        <f>IFERROR(VLOOKUP(J31,'torre março'!$A$25:$V$61,16),"-")</f>
        <v>B.SELAYARAN</v>
      </c>
      <c r="T31" s="18" t="str">
        <f>IFERROR(VLOOKUP(J31,'torre março'!$A$25:$V$61,18),"-")</f>
        <v>FELIPE</v>
      </c>
      <c r="U31" s="18" t="str">
        <f>IFERROR(VLOOKUP(J31,'torre março'!$A$25:$V$61,20),"-")</f>
        <v>B.MACHADO</v>
      </c>
      <c r="V31" s="24" t="str">
        <f>IFERROR(VLOOKUP(J31,'torre março'!$A$25:$V$61,22),"-")</f>
        <v>GUILHERME</v>
      </c>
      <c r="X31" s="156" t="e" cm="1">
        <f t="array" aca="1" ref="X31" ca="1">CountCcolor(M11:V41,X31)</f>
        <v>#NAME?</v>
      </c>
      <c r="Y31" s="218"/>
    </row>
    <row r="32" spans="10:31" ht="22.5" customHeight="1" x14ac:dyDescent="0.25">
      <c r="J32" s="175">
        <v>46103</v>
      </c>
      <c r="K32" s="18">
        <f t="shared" si="0"/>
        <v>7</v>
      </c>
      <c r="L32" s="18" t="str">
        <f t="shared" si="1"/>
        <v>DOMINGO</v>
      </c>
      <c r="M32" s="18" t="str">
        <f>IFERROR(VLOOKUP(J32,'torre março'!$A$25:$V$61,4),"-")</f>
        <v>EDUARDO</v>
      </c>
      <c r="N32" s="18" t="str">
        <f>IFERROR(VLOOKUP(J32,'torre março'!$A$25:$V$61,6),"-")</f>
        <v>VITORIA</v>
      </c>
      <c r="O32" s="18" t="str">
        <f>IFERROR(VLOOKUP(J32,'torre março'!$A$25:$V$61,8),"-")</f>
        <v>RODRIGO</v>
      </c>
      <c r="P32" s="18" t="str">
        <f>IFERROR(VLOOKUP(J32,'torre março'!$A$25:$V$61,10),"-")</f>
        <v>BRANCÃO</v>
      </c>
      <c r="Q32" s="18" t="str">
        <f>IFERROR(VLOOKUP(J32,'torre março'!$A$25:$V$62,12),"-")</f>
        <v>-</v>
      </c>
      <c r="R32" s="18" t="str">
        <f>IFERROR(VLOOKUP(J32,'torre março'!$A$25:$V$62,14),"-")</f>
        <v>-</v>
      </c>
      <c r="S32" s="18" t="str">
        <f>IFERROR(VLOOKUP(J32,'torre março'!$A$25:$V$61,16),"-")</f>
        <v>B.SELAYARAN</v>
      </c>
      <c r="T32" s="18" t="str">
        <f>IFERROR(VLOOKUP(J32,'torre março'!$A$25:$V$61,18),"-")</f>
        <v>FELIPE</v>
      </c>
      <c r="U32" s="18" t="str">
        <f>IFERROR(VLOOKUP(J32,'torre março'!$A$25:$V$61,20),"-")</f>
        <v>B.MACHADO</v>
      </c>
      <c r="V32" s="24" t="str">
        <f>IFERROR(VLOOKUP(J32,'torre março'!$A$25:$V$61,22),"-")</f>
        <v>GUILHERME</v>
      </c>
    </row>
    <row r="33" spans="10:22" ht="22.5" customHeight="1" x14ac:dyDescent="0.25">
      <c r="J33" s="26">
        <v>46104</v>
      </c>
      <c r="K33" s="18">
        <f t="shared" si="0"/>
        <v>1</v>
      </c>
      <c r="L33" s="18" t="str">
        <f t="shared" si="1"/>
        <v>SEGUNDA</v>
      </c>
      <c r="M33" s="18" t="str">
        <f>IFERROR(VLOOKUP(J33,'torre março'!$A$25:$V$61,4),"-")</f>
        <v>MARCO</v>
      </c>
      <c r="N33" s="18" t="str">
        <f>IFERROR(VLOOKUP(J33,'torre março'!$A$25:$V$61,6),"-")</f>
        <v>VITORIA</v>
      </c>
      <c r="O33" s="18" t="str">
        <f>IFERROR(VLOOKUP(J33,'torre março'!$A$25:$V$61,8),"-")</f>
        <v>RODRIGO</v>
      </c>
      <c r="P33" s="18" t="str">
        <f>IFERROR(VLOOKUP(J33,'torre março'!$A$25:$V$61,10),"-")</f>
        <v>THAIS</v>
      </c>
      <c r="Q33" s="18" t="str">
        <f>IFERROR(VLOOKUP(J33,'torre março'!$A$25:$V$62,12),"-")</f>
        <v>-</v>
      </c>
      <c r="R33" s="18" t="str">
        <f>IFERROR(VLOOKUP(J33,'torre março'!$A$25:$V$62,14),"-")</f>
        <v>-</v>
      </c>
      <c r="S33" s="18" t="str">
        <f>IFERROR(VLOOKUP(J33,'torre março'!$A$25:$V$61,16),"-")</f>
        <v>ALLAN</v>
      </c>
      <c r="T33" s="18" t="str">
        <f>IFERROR(VLOOKUP(J33,'torre março'!$A$25:$V$61,18),"-")</f>
        <v>FELIPE</v>
      </c>
      <c r="U33" s="18" t="str">
        <f>IFERROR(VLOOKUP(J33,'torre março'!$A$25:$V$61,20),"-")</f>
        <v>B.MACHADO</v>
      </c>
      <c r="V33" s="24" t="str">
        <f>IFERROR(VLOOKUP(J33,'torre março'!$A$25:$V$61,22),"-")</f>
        <v>RICHER</v>
      </c>
    </row>
    <row r="34" spans="10:22" ht="22.5" customHeight="1" x14ac:dyDescent="0.25">
      <c r="J34" s="175">
        <v>46105</v>
      </c>
      <c r="K34" s="18">
        <f t="shared" si="0"/>
        <v>2</v>
      </c>
      <c r="L34" s="18" t="str">
        <f t="shared" si="1"/>
        <v>TERÇA</v>
      </c>
      <c r="M34" s="18" t="str">
        <f>IFERROR(VLOOKUP(J34,'torre março'!$A$25:$V$61,4),"-")</f>
        <v>MARCO</v>
      </c>
      <c r="N34" s="18" t="str">
        <f>IFERROR(VLOOKUP(J34,'torre março'!$A$25:$V$61,6),"-")</f>
        <v>VITORIA</v>
      </c>
      <c r="O34" s="18" t="str">
        <f>IFERROR(VLOOKUP(J34,'torre março'!$A$25:$V$61,8),"-")</f>
        <v>RODRIGO</v>
      </c>
      <c r="P34" s="18" t="str">
        <f>IFERROR(VLOOKUP(J34,'torre março'!$A$25:$V$61,10),"-")</f>
        <v>THAIS</v>
      </c>
      <c r="Q34" s="18" t="str">
        <f>IFERROR(VLOOKUP(J34,'torre março'!$A$25:$V$62,12),"-")</f>
        <v>CLEITON</v>
      </c>
      <c r="R34" s="18" t="str">
        <f>IFERROR(VLOOKUP(J34,'torre março'!$A$25:$V$62,14),"-")</f>
        <v>TONINHO</v>
      </c>
      <c r="S34" s="18" t="str">
        <f>IFERROR(VLOOKUP(J34,'torre março'!$A$25:$V$61,16),"-")</f>
        <v>ALLAN</v>
      </c>
      <c r="T34" s="18" t="str">
        <f>IFERROR(VLOOKUP(J34,'torre março'!$A$25:$V$61,18),"-")</f>
        <v>FELIPE</v>
      </c>
      <c r="U34" s="18" t="str">
        <f>IFERROR(VLOOKUP(J34,'torre março'!$A$25:$V$61,20),"-")</f>
        <v>B.MACHADO</v>
      </c>
      <c r="V34" s="24" t="str">
        <f>IFERROR(VLOOKUP(J34,'torre março'!$A$25:$V$61,22),"-")</f>
        <v>RICHER</v>
      </c>
    </row>
    <row r="35" spans="10:22" ht="22.5" customHeight="1" x14ac:dyDescent="0.25">
      <c r="J35" s="175">
        <v>46106</v>
      </c>
      <c r="K35" s="18">
        <f t="shared" si="0"/>
        <v>3</v>
      </c>
      <c r="L35" s="18" t="str">
        <f t="shared" si="1"/>
        <v>QUARTA</v>
      </c>
      <c r="M35" s="18" t="str">
        <f>IFERROR(VLOOKUP(J35,'torre março'!$A$25:$V$61,4),"-")</f>
        <v>MARCO</v>
      </c>
      <c r="N35" s="18" t="str">
        <f>IFERROR(VLOOKUP(J35,'torre março'!$A$25:$V$61,6),"-")</f>
        <v>BRANCÃO</v>
      </c>
      <c r="O35" s="18" t="str">
        <f>IFERROR(VLOOKUP(J35,'torre março'!$A$25:$V$61,8),"-")</f>
        <v>B.SELAYARAN</v>
      </c>
      <c r="P35" s="18" t="str">
        <f>IFERROR(VLOOKUP(J35,'torre março'!$A$25:$V$61,10),"-")</f>
        <v>THAIS</v>
      </c>
      <c r="Q35" s="18" t="str">
        <f>IFERROR(VLOOKUP(J35,'torre março'!$A$25:$V$62,12),"-")</f>
        <v>CLEITON</v>
      </c>
      <c r="R35" s="18" t="str">
        <f>IFERROR(VLOOKUP(J35,'torre março'!$A$25:$V$62,14),"-")</f>
        <v>TONINHO</v>
      </c>
      <c r="S35" s="18" t="str">
        <f>IFERROR(VLOOKUP(J35,'torre março'!$A$25:$V$61,16),"-")</f>
        <v>ALLAN</v>
      </c>
      <c r="T35" s="18" t="str">
        <f>IFERROR(VLOOKUP(J35,'torre março'!$A$25:$V$61,18),"-")</f>
        <v>GUILHERME</v>
      </c>
      <c r="U35" s="18" t="str">
        <f>IFERROR(VLOOKUP(J35,'torre março'!$A$25:$V$61,20),"-")</f>
        <v>EDUARDO</v>
      </c>
      <c r="V35" s="24" t="str">
        <f>IFERROR(VLOOKUP(J35,'torre março'!$A$25:$V$61,22),"-")</f>
        <v>RICHER</v>
      </c>
    </row>
    <row r="36" spans="10:22" ht="22.5" customHeight="1" x14ac:dyDescent="0.25">
      <c r="J36" s="175">
        <v>46107</v>
      </c>
      <c r="K36" s="18">
        <f t="shared" si="0"/>
        <v>4</v>
      </c>
      <c r="L36" s="18" t="str">
        <f t="shared" si="1"/>
        <v>QUINTA</v>
      </c>
      <c r="M36" s="18" t="str">
        <f>IFERROR(VLOOKUP(J36,'torre março'!$A$25:$V$61,4),"-")</f>
        <v>MARCO</v>
      </c>
      <c r="N36" s="18" t="str">
        <f>IFERROR(VLOOKUP(J36,'torre março'!$A$25:$V$61,6),"-")</f>
        <v>BRANCÃO</v>
      </c>
      <c r="O36" s="18" t="str">
        <f>IFERROR(VLOOKUP(J36,'torre março'!$A$25:$V$61,8),"-")</f>
        <v>B.SELAYARAN</v>
      </c>
      <c r="P36" s="18" t="str">
        <f>IFERROR(VLOOKUP(J36,'torre março'!$A$25:$V$61,10),"-")</f>
        <v>THAIS</v>
      </c>
      <c r="Q36" s="18" t="str">
        <f>IFERROR(VLOOKUP(J36,'torre março'!$A$25:$V$62,12),"-")</f>
        <v>CLEITON</v>
      </c>
      <c r="R36" s="18" t="str">
        <f>IFERROR(VLOOKUP(J36,'torre março'!$A$25:$V$62,14),"-")</f>
        <v>TONINHO</v>
      </c>
      <c r="S36" s="18" t="str">
        <f>IFERROR(VLOOKUP(J36,'torre março'!$A$25:$V$61,16),"-")</f>
        <v>ALLAN</v>
      </c>
      <c r="T36" s="18" t="str">
        <f>IFERROR(VLOOKUP(J36,'torre março'!$A$25:$V$61,18),"-")</f>
        <v>GUILHERME</v>
      </c>
      <c r="U36" s="18" t="str">
        <f>IFERROR(VLOOKUP(J36,'torre março'!$A$25:$V$61,20),"-")</f>
        <v>EDUARDO</v>
      </c>
      <c r="V36" s="24" t="str">
        <f>IFERROR(VLOOKUP(J36,'torre março'!$A$25:$V$61,22),"-")</f>
        <v>RICHER</v>
      </c>
    </row>
    <row r="37" spans="10:22" ht="22.5" customHeight="1" x14ac:dyDescent="0.25">
      <c r="J37" s="175">
        <v>46108</v>
      </c>
      <c r="K37" s="18">
        <f t="shared" si="0"/>
        <v>5</v>
      </c>
      <c r="L37" s="18" t="str">
        <f t="shared" si="1"/>
        <v>SEXTA</v>
      </c>
      <c r="M37" s="18" t="str">
        <f>IFERROR(VLOOKUP(J37,'torre março'!$A$25:$V$61,4),"-")</f>
        <v>RODRIGO</v>
      </c>
      <c r="N37" s="18" t="str">
        <f>IFERROR(VLOOKUP(J37,'torre março'!$A$25:$V$61,6),"-")</f>
        <v>BRANCÃO</v>
      </c>
      <c r="O37" s="18" t="str">
        <f>IFERROR(VLOOKUP(J37,'torre março'!$A$25:$V$61,8),"-")</f>
        <v>B.SELAYARAN</v>
      </c>
      <c r="P37" s="18" t="str">
        <f>IFERROR(VLOOKUP(J37,'torre março'!$A$25:$V$61,10),"-")</f>
        <v>FELIPE</v>
      </c>
      <c r="Q37" s="18" t="str">
        <f>IFERROR(VLOOKUP(J37,'torre março'!$A$25:$V$62,12),"-")</f>
        <v>CLEITON</v>
      </c>
      <c r="R37" s="18" t="str">
        <f>IFERROR(VLOOKUP(J37,'torre março'!$A$25:$V$62,14),"-")</f>
        <v>TONINHO</v>
      </c>
      <c r="S37" s="18" t="str">
        <f>IFERROR(VLOOKUP(J37,'torre março'!$A$25:$V$61,16),"-")</f>
        <v>B.MACHADO</v>
      </c>
      <c r="T37" s="18" t="str">
        <f>IFERROR(VLOOKUP(J37,'torre março'!$A$25:$V$61,18),"-")</f>
        <v>GUILHERME</v>
      </c>
      <c r="U37" s="18" t="str">
        <f>IFERROR(VLOOKUP(J37,'torre março'!$A$25:$V$61,20),"-")</f>
        <v>EDUARDO</v>
      </c>
      <c r="V37" s="24" t="str">
        <f>IFERROR(VLOOKUP(J37,'torre março'!$A$25:$V$61,22),"-")</f>
        <v>VITORIA</v>
      </c>
    </row>
    <row r="38" spans="10:22" ht="22.5" customHeight="1" x14ac:dyDescent="0.25">
      <c r="J38" s="82">
        <v>46109</v>
      </c>
      <c r="K38" s="18">
        <f t="shared" si="0"/>
        <v>6</v>
      </c>
      <c r="L38" s="18" t="str">
        <f t="shared" si="1"/>
        <v>SABADO</v>
      </c>
      <c r="M38" s="18" t="str">
        <f>IFERROR(VLOOKUP(J38,'torre março'!$A$25:$V$61,4),"-")</f>
        <v>RODRIGO</v>
      </c>
      <c r="N38" s="18" t="str">
        <f>IFERROR(VLOOKUP(J38,'torre março'!$A$25:$V$61,6),"-")</f>
        <v>BRANCÃO</v>
      </c>
      <c r="O38" s="18" t="str">
        <f>IFERROR(VLOOKUP(J38,'torre março'!$A$25:$V$61,8),"-")</f>
        <v>B.SELAYARAN</v>
      </c>
      <c r="P38" s="18" t="str">
        <f>IFERROR(VLOOKUP(J38,'torre março'!$A$25:$V$61,10),"-")</f>
        <v>FELIPE</v>
      </c>
      <c r="Q38" s="18" t="str">
        <f>IFERROR(VLOOKUP(J38,'torre março'!$A$25:$V$62,12),"-")</f>
        <v>TONINHO</v>
      </c>
      <c r="R38" s="18" t="str">
        <f>IFERROR(VLOOKUP(J38,'torre março'!$A$25:$V$62,14),"-")</f>
        <v>CLEITON</v>
      </c>
      <c r="S38" s="18" t="str">
        <f>IFERROR(VLOOKUP(J38,'torre março'!$A$25:$V$61,16),"-")</f>
        <v>B.MACHADO</v>
      </c>
      <c r="T38" s="18" t="str">
        <f>IFERROR(VLOOKUP(J38,'torre março'!$A$25:$V$61,18),"-")</f>
        <v>GUILHERME</v>
      </c>
      <c r="U38" s="18" t="str">
        <f>IFERROR(VLOOKUP(J38,'torre março'!$A$25:$V$61,20),"-")</f>
        <v>EDUARDO</v>
      </c>
      <c r="V38" s="24" t="str">
        <f>IFERROR(VLOOKUP(J38,'torre março'!$A$25:$V$61,22),"-")</f>
        <v>VITORIA</v>
      </c>
    </row>
    <row r="39" spans="10:22" ht="22.5" customHeight="1" x14ac:dyDescent="0.25">
      <c r="J39" s="82">
        <v>46110</v>
      </c>
      <c r="K39" s="18">
        <f t="shared" si="0"/>
        <v>7</v>
      </c>
      <c r="L39" s="18" t="str">
        <f t="shared" si="1"/>
        <v>DOMINGO</v>
      </c>
      <c r="M39" s="18" t="str">
        <f>IFERROR(VLOOKUP(J39,'torre março'!$A$25:$V$61,4),"-")</f>
        <v>RODRIGO</v>
      </c>
      <c r="N39" s="18" t="str">
        <f>IFERROR(VLOOKUP(J39,'torre março'!$A$25:$V$61,6),"-")</f>
        <v>THAIS</v>
      </c>
      <c r="O39" s="18" t="str">
        <f>IFERROR(VLOOKUP(J39,'torre março'!$A$25:$V$61,8),"-")</f>
        <v>ALLAN</v>
      </c>
      <c r="P39" s="18" t="str">
        <f>IFERROR(VLOOKUP(J39,'torre março'!$A$25:$V$61,10),"-")</f>
        <v>FELIPE</v>
      </c>
      <c r="Q39" s="18" t="str">
        <f>IFERROR(VLOOKUP(J39,'torre março'!$A$25:$V$62,12),"-")</f>
        <v>-</v>
      </c>
      <c r="R39" s="18" t="str">
        <f>IFERROR(VLOOKUP(J39,'torre março'!$A$25:$V$62,14),"-")</f>
        <v>-</v>
      </c>
      <c r="S39" s="18" t="str">
        <f>IFERROR(VLOOKUP(J39,'torre março'!$A$25:$V$61,16),"-")</f>
        <v>B.MACHADO</v>
      </c>
      <c r="T39" s="18" t="str">
        <f>IFERROR(VLOOKUP(J39,'torre março'!$A$25:$V$61,18),"-")</f>
        <v>RICHER</v>
      </c>
      <c r="U39" s="18" t="str">
        <f>IFERROR(VLOOKUP(J39,'torre março'!$A$25:$V$61,20),"-")</f>
        <v>MARCO</v>
      </c>
      <c r="V39" s="24" t="str">
        <f>IFERROR(VLOOKUP(J39,'torre março'!$A$25:$V$61,22),"-")</f>
        <v>VITORIA</v>
      </c>
    </row>
    <row r="40" spans="10:22" ht="22.5" customHeight="1" x14ac:dyDescent="0.25">
      <c r="J40" s="82">
        <v>46111</v>
      </c>
      <c r="K40" s="18">
        <f t="shared" si="0"/>
        <v>1</v>
      </c>
      <c r="L40" s="18" t="str">
        <f t="shared" si="1"/>
        <v>SEGUNDA</v>
      </c>
      <c r="M40" s="18" t="str">
        <f>IFERROR(VLOOKUP(J40,'torre março'!$A$25:$V$61,4),"-")</f>
        <v>RODRIGO</v>
      </c>
      <c r="N40" s="18" t="str">
        <f>IFERROR(VLOOKUP(J40,'torre março'!$A$25:$V$61,6),"-")</f>
        <v>THAIS</v>
      </c>
      <c r="O40" s="18" t="str">
        <f>IFERROR(VLOOKUP(J40,'torre março'!$A$25:$V$61,8),"-")</f>
        <v>ALLAN</v>
      </c>
      <c r="P40" s="18" t="str">
        <f>IFERROR(VLOOKUP(J40,'torre março'!$A$25:$V$61,10),"-")</f>
        <v>FELIPE</v>
      </c>
      <c r="Q40" s="18" t="str">
        <f>IFERROR(VLOOKUP(J40,'torre março'!$A$25:$V$62,12),"-")</f>
        <v>-</v>
      </c>
      <c r="R40" s="18" t="str">
        <f>IFERROR(VLOOKUP(J40,'torre março'!$A$25:$V$62,14),"-")</f>
        <v>-</v>
      </c>
      <c r="S40" s="18" t="str">
        <f>IFERROR(VLOOKUP(J40,'torre março'!$A$25:$V$61,16),"-")</f>
        <v>B.MACHADO</v>
      </c>
      <c r="T40" s="18" t="str">
        <f>IFERROR(VLOOKUP(J40,'torre março'!$A$25:$V$61,18),"-")</f>
        <v>RICHER</v>
      </c>
      <c r="U40" s="18" t="str">
        <f>IFERROR(VLOOKUP(J40,'torre março'!$A$25:$V$61,20),"-")</f>
        <v>MARCO</v>
      </c>
      <c r="V40" s="24" t="str">
        <f>IFERROR(VLOOKUP(J40,'torre março'!$A$25:$V$61,22),"-")</f>
        <v>VITORIA</v>
      </c>
    </row>
    <row r="41" spans="10:22" ht="22.5" customHeight="1" thickBot="1" x14ac:dyDescent="0.3">
      <c r="J41" s="82">
        <v>46112</v>
      </c>
      <c r="K41" s="90">
        <f t="shared" si="0"/>
        <v>2</v>
      </c>
      <c r="L41" s="90" t="str">
        <f t="shared" si="1"/>
        <v>TERÇA</v>
      </c>
      <c r="M41" s="90" t="str">
        <f>IFERROR(VLOOKUP(J41,'torre março'!$A$25:$V$61,4),"-")</f>
        <v>B.SELAYARAN</v>
      </c>
      <c r="N41" s="90" t="str">
        <f>IFERROR(VLOOKUP(J41,'torre março'!$A$25:$V$61,6),"-")</f>
        <v>THAIS</v>
      </c>
      <c r="O41" s="90" t="str">
        <f>IFERROR(VLOOKUP(J41,'torre março'!$A$25:$V$61,8),"-")</f>
        <v>ALLAN</v>
      </c>
      <c r="P41" s="90" t="str">
        <f>IFERROR(VLOOKUP(J41,'torre março'!$A$25:$V$61,10),"-")</f>
        <v>GUILHERME</v>
      </c>
      <c r="Q41" s="90" t="str">
        <f>IFERROR(VLOOKUP(J41,'torre março'!$A$25:$V$62,12),"-")</f>
        <v>CLEITON</v>
      </c>
      <c r="R41" s="90" t="str">
        <f>IFERROR(VLOOKUP(J41,'torre março'!$A$25:$V$62,14),"-")</f>
        <v>TONINHO</v>
      </c>
      <c r="S41" s="90" t="str">
        <f>IFERROR(VLOOKUP(J41,'torre março'!$A$25:$V$61,16),"-")</f>
        <v>EDUARDO</v>
      </c>
      <c r="T41" s="90" t="str">
        <f>IFERROR(VLOOKUP(J41,'torre março'!$A$25:$V$61,18),"-")</f>
        <v>RICHER</v>
      </c>
      <c r="U41" s="90" t="str">
        <f>IFERROR(VLOOKUP(J41,'torre março'!$A$25:$V$61,20),"-")</f>
        <v>B.HORNES</v>
      </c>
      <c r="V41" s="91" t="str">
        <f>IFERROR(VLOOKUP(J41,'torre março'!$A$25:$V$61,22),"-")</f>
        <v>BRANCÃO</v>
      </c>
    </row>
    <row r="42" spans="10:22" ht="15" customHeight="1" x14ac:dyDescent="0.25">
      <c r="J42" s="109" t="s">
        <v>153</v>
      </c>
      <c r="K42" s="158"/>
      <c r="L42" s="158"/>
      <c r="M42" s="158"/>
      <c r="N42" s="158"/>
      <c r="O42" s="168"/>
      <c r="P42" s="158"/>
      <c r="Q42" s="159"/>
      <c r="R42" s="159"/>
      <c r="S42" s="158"/>
      <c r="T42" s="158"/>
      <c r="U42" s="158"/>
      <c r="V42" s="160"/>
    </row>
    <row r="43" spans="10:22" ht="15" customHeight="1" x14ac:dyDescent="0.25">
      <c r="J43" s="110" t="s">
        <v>155</v>
      </c>
      <c r="K43" s="161"/>
      <c r="L43" s="161"/>
      <c r="M43" s="161"/>
      <c r="N43" s="186"/>
      <c r="O43" s="187"/>
      <c r="P43" s="186"/>
      <c r="Q43" s="188"/>
      <c r="R43" s="188"/>
      <c r="S43" s="186"/>
      <c r="T43" s="186"/>
      <c r="U43" s="186"/>
      <c r="V43" s="163"/>
    </row>
    <row r="44" spans="10:22" ht="15" customHeight="1" x14ac:dyDescent="0.25">
      <c r="J44" s="110" t="s">
        <v>154</v>
      </c>
      <c r="K44" s="161"/>
      <c r="L44" s="161"/>
      <c r="M44" s="161"/>
      <c r="N44" s="186"/>
      <c r="O44" s="186"/>
      <c r="P44" s="186"/>
      <c r="Q44" s="188"/>
      <c r="R44" s="188"/>
      <c r="S44" s="186"/>
      <c r="T44" s="186"/>
      <c r="U44" s="186"/>
      <c r="V44" s="163"/>
    </row>
    <row r="45" spans="10:22" ht="15" customHeight="1" x14ac:dyDescent="0.25">
      <c r="J45" s="110"/>
      <c r="K45" s="186"/>
      <c r="L45" s="186"/>
      <c r="M45" s="186"/>
      <c r="N45" s="186"/>
      <c r="O45" s="186" t="s">
        <v>142</v>
      </c>
      <c r="P45" s="186"/>
      <c r="Q45" s="188"/>
      <c r="R45" s="188"/>
      <c r="S45" s="186"/>
      <c r="T45" s="186"/>
      <c r="U45" s="186"/>
      <c r="V45" s="163"/>
    </row>
    <row r="46" spans="10:22" ht="15" customHeight="1" x14ac:dyDescent="0.25">
      <c r="J46" s="110"/>
      <c r="K46" s="186"/>
      <c r="L46" s="186"/>
      <c r="M46" s="186"/>
      <c r="N46" s="186"/>
      <c r="O46" s="186"/>
      <c r="P46" s="186"/>
      <c r="Q46" s="188"/>
      <c r="R46" s="188"/>
      <c r="S46" s="186"/>
      <c r="T46" s="186"/>
      <c r="U46" s="186"/>
      <c r="V46" s="163"/>
    </row>
    <row r="47" spans="10:22" ht="15" customHeight="1" thickBot="1" x14ac:dyDescent="0.3">
      <c r="J47" s="164"/>
      <c r="K47" s="165"/>
      <c r="L47" s="165"/>
      <c r="M47" s="165"/>
      <c r="N47" s="165"/>
      <c r="O47" s="165"/>
      <c r="P47" s="165"/>
      <c r="Q47" s="166"/>
      <c r="R47" s="166"/>
      <c r="S47" s="165"/>
      <c r="T47" s="165"/>
      <c r="U47" s="165"/>
      <c r="V47" s="167"/>
    </row>
    <row r="48" spans="10:22" x14ac:dyDescent="0.25">
      <c r="S48"/>
      <c r="T48"/>
      <c r="U48"/>
      <c r="V48"/>
    </row>
    <row r="49" spans="19:22" x14ac:dyDescent="0.25">
      <c r="S49"/>
      <c r="T49"/>
      <c r="U49"/>
      <c r="V49"/>
    </row>
    <row r="50" spans="19:22" x14ac:dyDescent="0.25">
      <c r="S50"/>
      <c r="T50"/>
      <c r="U50"/>
      <c r="V50"/>
    </row>
    <row r="51" spans="19:22" x14ac:dyDescent="0.25">
      <c r="S51"/>
      <c r="T51"/>
      <c r="U51"/>
      <c r="V51"/>
    </row>
    <row r="52" spans="19:22" x14ac:dyDescent="0.25">
      <c r="S52"/>
      <c r="T52"/>
      <c r="U52"/>
      <c r="V52"/>
    </row>
    <row r="53" spans="19:22" x14ac:dyDescent="0.25">
      <c r="S53"/>
      <c r="T53"/>
      <c r="U53"/>
      <c r="V53"/>
    </row>
    <row r="54" spans="19:22" x14ac:dyDescent="0.25">
      <c r="S54"/>
      <c r="T54"/>
      <c r="U54"/>
      <c r="V54"/>
    </row>
    <row r="55" spans="19:22" x14ac:dyDescent="0.25">
      <c r="S55"/>
      <c r="T55"/>
      <c r="U55"/>
      <c r="V55"/>
    </row>
    <row r="56" spans="19:22" x14ac:dyDescent="0.25">
      <c r="S56"/>
      <c r="T56"/>
      <c r="U56"/>
      <c r="V56"/>
    </row>
    <row r="57" spans="19:22" x14ac:dyDescent="0.25">
      <c r="S57"/>
      <c r="T57"/>
      <c r="U57"/>
      <c r="V57"/>
    </row>
  </sheetData>
  <mergeCells count="11">
    <mergeCell ref="X7:Y7"/>
    <mergeCell ref="M8:V8"/>
    <mergeCell ref="J10:L10"/>
    <mergeCell ref="X10:Y10"/>
    <mergeCell ref="Y30:Y31"/>
    <mergeCell ref="M3:V4"/>
    <mergeCell ref="X3:Y3"/>
    <mergeCell ref="X4:Y4"/>
    <mergeCell ref="M5:V6"/>
    <mergeCell ref="X5:Y5"/>
    <mergeCell ref="X6:Y6"/>
  </mergeCells>
  <pageMargins left="0.51181102362204722" right="0.51181102362204722" top="0.78740157480314965" bottom="0.78740157480314965" header="0.31496062992125984" footer="0.31496062992125984"/>
  <pageSetup paperSize="9" scale="5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E9134-CC61-4ACE-A46D-E3F77F2211AD}">
  <sheetPr codeName="Planilha135"/>
  <dimension ref="A1:V67"/>
  <sheetViews>
    <sheetView showGridLines="0" topLeftCell="A13" zoomScale="70" zoomScaleNormal="70" workbookViewId="0">
      <selection activeCell="S30" sqref="S30"/>
    </sheetView>
  </sheetViews>
  <sheetFormatPr defaultColWidth="9.140625" defaultRowHeight="15" x14ac:dyDescent="0.25"/>
  <cols>
    <col min="1" max="1" width="13.42578125" style="114" bestFit="1" customWidth="1"/>
    <col min="2" max="2" width="13.42578125" style="114" hidden="1" customWidth="1"/>
    <col min="3" max="3" width="13.7109375" style="114" customWidth="1"/>
    <col min="4" max="6" width="16.140625" style="114" customWidth="1"/>
    <col min="7" max="7" width="15.42578125" style="114" customWidth="1"/>
    <col min="8" max="10" width="16.140625" style="114" customWidth="1"/>
    <col min="11" max="11" width="14.140625" style="114" customWidth="1"/>
    <col min="12" max="12" width="16.140625" style="114" customWidth="1"/>
    <col min="13" max="13" width="12.7109375" style="114" customWidth="1"/>
    <col min="14" max="14" width="16.140625" style="114" customWidth="1"/>
    <col min="15" max="15" width="14.140625" style="114" customWidth="1"/>
    <col min="16" max="16" width="16.140625" style="114" customWidth="1"/>
    <col min="17" max="17" width="14.7109375" style="114" customWidth="1"/>
    <col min="18" max="18" width="16.140625" style="114" customWidth="1"/>
    <col min="19" max="19" width="13.7109375" style="114" customWidth="1"/>
    <col min="20" max="20" width="14.85546875" style="114" customWidth="1"/>
    <col min="21" max="21" width="14.28515625" style="114" customWidth="1"/>
    <col min="22" max="22" width="14.7109375" style="114" customWidth="1"/>
    <col min="23" max="24" width="9.140625" style="114"/>
    <col min="25" max="27" width="10.42578125" style="114" customWidth="1"/>
    <col min="28" max="32" width="9.140625" style="114"/>
    <col min="33" max="33" width="12.7109375" style="114" bestFit="1" customWidth="1"/>
    <col min="34" max="34" width="9.140625" style="114"/>
    <col min="35" max="35" width="12.28515625" style="114" customWidth="1"/>
    <col min="36" max="36" width="11.28515625" style="114" customWidth="1"/>
    <col min="37" max="37" width="11.5703125" style="114" customWidth="1"/>
    <col min="38" max="38" width="11" style="114" customWidth="1"/>
    <col min="39" max="39" width="17.42578125" style="114" customWidth="1"/>
    <col min="40" max="16384" width="9.140625" style="114"/>
  </cols>
  <sheetData>
    <row r="1" spans="3:22" ht="15.75" thickBot="1" x14ac:dyDescent="0.3">
      <c r="V1" s="17"/>
    </row>
    <row r="2" spans="3:22" ht="16.5" thickBot="1" x14ac:dyDescent="0.3">
      <c r="C2" s="118" t="s">
        <v>22</v>
      </c>
      <c r="D2" s="119">
        <v>1</v>
      </c>
      <c r="E2" s="120"/>
      <c r="F2" s="4" t="s">
        <v>44</v>
      </c>
      <c r="G2" s="4" t="s">
        <v>43</v>
      </c>
      <c r="H2" s="4" t="s">
        <v>15</v>
      </c>
      <c r="I2" s="4" t="s">
        <v>16</v>
      </c>
      <c r="J2" s="4" t="s">
        <v>17</v>
      </c>
      <c r="K2" s="4" t="s">
        <v>18</v>
      </c>
      <c r="L2" s="4" t="s">
        <v>42</v>
      </c>
      <c r="M2" s="4" t="s">
        <v>14</v>
      </c>
      <c r="V2" s="17"/>
    </row>
    <row r="3" spans="3:22" ht="15.75" thickBot="1" x14ac:dyDescent="0.3">
      <c r="C3" s="121" t="s">
        <v>26</v>
      </c>
      <c r="D3" s="122" t="s">
        <v>46</v>
      </c>
      <c r="E3" s="122" t="s">
        <v>47</v>
      </c>
      <c r="F3" s="123" t="s">
        <v>26</v>
      </c>
      <c r="G3" s="72" t="str">
        <f t="shared" ref="G3:G8" si="0">D3</f>
        <v>EDUARDO</v>
      </c>
      <c r="H3" s="124">
        <f>COUNTIF($C$26:$E$60,F3)</f>
        <v>5</v>
      </c>
      <c r="I3" s="124">
        <f>COUNTIF($G$26:$I$60,F3)</f>
        <v>4</v>
      </c>
      <c r="J3" s="124">
        <f>COUNTIF($O$26:$Q$60,F3)</f>
        <v>5</v>
      </c>
      <c r="K3" s="124">
        <f>COUNTIF($S$26:$U$60,F3)</f>
        <v>6</v>
      </c>
      <c r="L3" s="124">
        <f>SUM(H3:K3)</f>
        <v>20</v>
      </c>
      <c r="M3" s="124">
        <f>$M$21-L3</f>
        <v>11</v>
      </c>
      <c r="N3" s="125"/>
      <c r="O3" s="27"/>
      <c r="P3" s="27"/>
      <c r="Q3" s="27"/>
      <c r="R3" s="27"/>
      <c r="S3" s="126"/>
      <c r="T3" s="17"/>
    </row>
    <row r="4" spans="3:22" x14ac:dyDescent="0.25">
      <c r="C4" s="127" t="s">
        <v>1</v>
      </c>
      <c r="D4" s="128" t="s">
        <v>48</v>
      </c>
      <c r="E4" s="122" t="s">
        <v>50</v>
      </c>
      <c r="F4" s="123" t="s">
        <v>1</v>
      </c>
      <c r="G4" s="72" t="str">
        <f t="shared" si="0"/>
        <v>MARCO</v>
      </c>
      <c r="H4" s="124">
        <f t="shared" ref="H4:H9" si="1">COUNTIF($C$26:$E$60,F4)</f>
        <v>6</v>
      </c>
      <c r="I4" s="124">
        <f t="shared" ref="I4:I9" si="2">COUNTIF($G$26:$I$60,F4)</f>
        <v>4</v>
      </c>
      <c r="J4" s="124">
        <f t="shared" ref="J4:J9" si="3">COUNTIF($O$26:$Q$60,F4)</f>
        <v>4</v>
      </c>
      <c r="K4" s="124">
        <f t="shared" ref="K4:K9" si="4">COUNTIF($S$26:$U$60,F4)</f>
        <v>6</v>
      </c>
      <c r="L4" s="124">
        <f t="shared" ref="L4:L18" si="5">SUM(H4:K4)</f>
        <v>20</v>
      </c>
      <c r="M4" s="124">
        <f t="shared" ref="M4:M18" si="6">$M$21-L4</f>
        <v>11</v>
      </c>
      <c r="N4" s="27"/>
      <c r="O4" s="105">
        <v>31</v>
      </c>
      <c r="P4" s="105">
        <v>30</v>
      </c>
      <c r="Q4" s="105">
        <v>28</v>
      </c>
      <c r="R4"/>
    </row>
    <row r="5" spans="3:22" x14ac:dyDescent="0.25">
      <c r="C5" s="127" t="s">
        <v>0</v>
      </c>
      <c r="D5" s="122" t="s">
        <v>49</v>
      </c>
      <c r="E5" s="122" t="s">
        <v>46</v>
      </c>
      <c r="F5" s="123" t="s">
        <v>0</v>
      </c>
      <c r="G5" s="72" t="str">
        <f t="shared" si="0"/>
        <v>RODRIGO</v>
      </c>
      <c r="H5" s="124">
        <f t="shared" si="1"/>
        <v>7</v>
      </c>
      <c r="I5" s="124">
        <f t="shared" si="2"/>
        <v>6</v>
      </c>
      <c r="J5" s="124">
        <f t="shared" si="3"/>
        <v>4</v>
      </c>
      <c r="K5" s="124">
        <f t="shared" si="4"/>
        <v>4</v>
      </c>
      <c r="L5" s="124">
        <f t="shared" si="5"/>
        <v>21</v>
      </c>
      <c r="M5" s="124">
        <f t="shared" si="6"/>
        <v>10</v>
      </c>
      <c r="N5" s="27"/>
      <c r="O5" s="5" t="s">
        <v>8</v>
      </c>
      <c r="P5" s="5" t="s">
        <v>8</v>
      </c>
      <c r="Q5" s="5" t="s">
        <v>27</v>
      </c>
      <c r="R5"/>
    </row>
    <row r="6" spans="3:22" x14ac:dyDescent="0.25">
      <c r="C6" s="127" t="s">
        <v>27</v>
      </c>
      <c r="D6" s="132" t="s">
        <v>52</v>
      </c>
      <c r="E6" s="128" t="s">
        <v>48</v>
      </c>
      <c r="F6" s="123" t="s">
        <v>27</v>
      </c>
      <c r="G6" s="72" t="str">
        <f t="shared" si="0"/>
        <v>B.SELAYARAN</v>
      </c>
      <c r="H6" s="124">
        <f t="shared" si="1"/>
        <v>5</v>
      </c>
      <c r="I6" s="124">
        <f t="shared" si="2"/>
        <v>4</v>
      </c>
      <c r="J6" s="124">
        <f t="shared" si="3"/>
        <v>6</v>
      </c>
      <c r="K6" s="124">
        <f t="shared" si="4"/>
        <v>4</v>
      </c>
      <c r="L6" s="124">
        <f t="shared" si="5"/>
        <v>19</v>
      </c>
      <c r="M6" s="124">
        <f t="shared" si="6"/>
        <v>12</v>
      </c>
      <c r="N6" s="27"/>
      <c r="O6" s="5" t="s">
        <v>12</v>
      </c>
      <c r="P6" s="5" t="s">
        <v>27</v>
      </c>
      <c r="Q6" s="5" t="s">
        <v>8</v>
      </c>
      <c r="R6"/>
    </row>
    <row r="7" spans="3:22" x14ac:dyDescent="0.25">
      <c r="C7" s="127" t="s">
        <v>8</v>
      </c>
      <c r="D7" s="122" t="s">
        <v>47</v>
      </c>
      <c r="E7" s="130" t="s">
        <v>45</v>
      </c>
      <c r="F7" s="123" t="s">
        <v>8</v>
      </c>
      <c r="G7" s="72" t="str">
        <f t="shared" si="0"/>
        <v>ALLAN</v>
      </c>
      <c r="H7" s="124">
        <f t="shared" si="1"/>
        <v>4</v>
      </c>
      <c r="I7" s="124">
        <f t="shared" si="2"/>
        <v>7</v>
      </c>
      <c r="J7" s="124">
        <f t="shared" si="3"/>
        <v>5</v>
      </c>
      <c r="K7" s="124">
        <f t="shared" si="4"/>
        <v>5</v>
      </c>
      <c r="L7" s="124">
        <f t="shared" si="5"/>
        <v>21</v>
      </c>
      <c r="M7" s="124">
        <f t="shared" si="6"/>
        <v>10</v>
      </c>
      <c r="N7" s="27"/>
      <c r="O7" s="5" t="s">
        <v>26</v>
      </c>
      <c r="P7" s="5" t="s">
        <v>12</v>
      </c>
      <c r="Q7" s="5" t="s">
        <v>12</v>
      </c>
      <c r="R7"/>
    </row>
    <row r="8" spans="3:22" x14ac:dyDescent="0.25">
      <c r="C8" s="127" t="s">
        <v>12</v>
      </c>
      <c r="D8" s="122" t="s">
        <v>50</v>
      </c>
      <c r="E8" s="122" t="s">
        <v>49</v>
      </c>
      <c r="F8" s="123" t="s">
        <v>12</v>
      </c>
      <c r="G8" s="72" t="str">
        <f t="shared" si="0"/>
        <v>B.MACHADO</v>
      </c>
      <c r="H8" s="124">
        <f t="shared" si="1"/>
        <v>4</v>
      </c>
      <c r="I8" s="124">
        <f t="shared" si="2"/>
        <v>6</v>
      </c>
      <c r="J8" s="124">
        <f t="shared" si="3"/>
        <v>7</v>
      </c>
      <c r="K8" s="124">
        <f t="shared" si="4"/>
        <v>5</v>
      </c>
      <c r="L8" s="124">
        <f t="shared" si="5"/>
        <v>22</v>
      </c>
      <c r="M8" s="124">
        <f t="shared" si="6"/>
        <v>9</v>
      </c>
      <c r="N8" s="27"/>
      <c r="O8" s="5" t="s">
        <v>1</v>
      </c>
      <c r="P8" s="5" t="s">
        <v>3</v>
      </c>
      <c r="Q8" s="5" t="s">
        <v>3</v>
      </c>
      <c r="R8"/>
    </row>
    <row r="9" spans="3:22" ht="15.75" thickBot="1" x14ac:dyDescent="0.3">
      <c r="C9" s="131" t="s">
        <v>3</v>
      </c>
      <c r="D9" s="130" t="s">
        <v>45</v>
      </c>
      <c r="E9" s="132" t="s">
        <v>52</v>
      </c>
      <c r="F9" s="123" t="s">
        <v>3</v>
      </c>
      <c r="G9" s="72" t="str">
        <f>D9</f>
        <v>B.HORNES</v>
      </c>
      <c r="H9" s="124">
        <f t="shared" si="1"/>
        <v>0</v>
      </c>
      <c r="I9" s="124">
        <f t="shared" si="2"/>
        <v>0</v>
      </c>
      <c r="J9" s="124">
        <f t="shared" si="3"/>
        <v>0</v>
      </c>
      <c r="K9" s="124">
        <f t="shared" si="4"/>
        <v>1</v>
      </c>
      <c r="L9" s="124">
        <f t="shared" si="5"/>
        <v>1</v>
      </c>
      <c r="M9" s="124">
        <f t="shared" si="6"/>
        <v>30</v>
      </c>
      <c r="N9" s="27"/>
      <c r="O9" s="5" t="s">
        <v>0</v>
      </c>
      <c r="P9" s="5" t="s">
        <v>26</v>
      </c>
      <c r="Q9" s="5" t="s">
        <v>1</v>
      </c>
      <c r="R9"/>
    </row>
    <row r="10" spans="3:22" ht="15.75" thickBot="1" x14ac:dyDescent="0.3">
      <c r="C10" s="118" t="s">
        <v>22</v>
      </c>
      <c r="D10" s="119">
        <v>2</v>
      </c>
      <c r="E10" s="27"/>
      <c r="F10" s="66" t="s">
        <v>10</v>
      </c>
      <c r="G10" s="77" t="str">
        <f t="shared" ref="G10:G16" si="7">D11</f>
        <v>VITORIA</v>
      </c>
      <c r="H10" s="116">
        <f>COUNTIF($C$26:$E$60,F10)</f>
        <v>4</v>
      </c>
      <c r="I10" s="116">
        <f>COUNTIF($G$26:$I$60,F10)</f>
        <v>4</v>
      </c>
      <c r="J10" s="116">
        <f>COUNTIF($O$26:$Q$60,F10)</f>
        <v>5</v>
      </c>
      <c r="K10" s="116">
        <f>COUNTIF($S$26:$U$60,F10)</f>
        <v>8</v>
      </c>
      <c r="L10" s="116">
        <f t="shared" si="5"/>
        <v>21</v>
      </c>
      <c r="M10" s="116">
        <f t="shared" si="6"/>
        <v>10</v>
      </c>
      <c r="N10" s="27"/>
      <c r="O10" s="5" t="s">
        <v>3</v>
      </c>
      <c r="P10" s="5" t="s">
        <v>0</v>
      </c>
      <c r="Q10" s="5" t="s">
        <v>26</v>
      </c>
      <c r="R10"/>
    </row>
    <row r="11" spans="3:22" x14ac:dyDescent="0.25">
      <c r="C11" s="133" t="s">
        <v>10</v>
      </c>
      <c r="D11" s="122" t="s">
        <v>132</v>
      </c>
      <c r="F11" s="66" t="s">
        <v>4</v>
      </c>
      <c r="G11" s="77" t="str">
        <f t="shared" si="7"/>
        <v>BRANCÃO</v>
      </c>
      <c r="H11" s="116">
        <f t="shared" ref="H11:H16" si="8">COUNTIF($C$26:$E$60,F11)</f>
        <v>7</v>
      </c>
      <c r="I11" s="116">
        <f t="shared" ref="I11:I16" si="9">COUNTIF($G$26:$I$60,F11)</f>
        <v>4</v>
      </c>
      <c r="J11" s="116">
        <f t="shared" ref="J11:J16" si="10">COUNTIF($O$26:$Q$60,F11)</f>
        <v>4</v>
      </c>
      <c r="K11" s="116">
        <f t="shared" ref="K11:K16" si="11">COUNTIF($S$26:$U$60,F11)</f>
        <v>5</v>
      </c>
      <c r="L11" s="116">
        <f t="shared" si="5"/>
        <v>20</v>
      </c>
      <c r="M11" s="116">
        <f t="shared" si="6"/>
        <v>11</v>
      </c>
      <c r="N11" s="6"/>
      <c r="O11" s="5" t="s">
        <v>27</v>
      </c>
      <c r="P11" s="5" t="s">
        <v>1</v>
      </c>
      <c r="Q11" s="5" t="s">
        <v>0</v>
      </c>
    </row>
    <row r="12" spans="3:22" x14ac:dyDescent="0.25">
      <c r="C12" s="134" t="s">
        <v>4</v>
      </c>
      <c r="D12" s="122" t="s">
        <v>51</v>
      </c>
      <c r="F12" s="66" t="s">
        <v>28</v>
      </c>
      <c r="G12" s="77" t="str">
        <f t="shared" si="7"/>
        <v>THAIS</v>
      </c>
      <c r="H12" s="116">
        <f t="shared" si="8"/>
        <v>7</v>
      </c>
      <c r="I12" s="116">
        <f t="shared" si="9"/>
        <v>6</v>
      </c>
      <c r="J12" s="116">
        <f t="shared" si="10"/>
        <v>4</v>
      </c>
      <c r="K12" s="116">
        <f t="shared" si="11"/>
        <v>4</v>
      </c>
      <c r="L12" s="116">
        <f t="shared" si="5"/>
        <v>21</v>
      </c>
      <c r="M12" s="116">
        <f t="shared" si="6"/>
        <v>10</v>
      </c>
      <c r="N12" s="6"/>
      <c r="O12" s="104"/>
      <c r="P12" s="104"/>
      <c r="Q12" s="104"/>
      <c r="R12" s="6"/>
      <c r="S12" s="6"/>
    </row>
    <row r="13" spans="3:22" x14ac:dyDescent="0.25">
      <c r="C13" s="134" t="s">
        <v>28</v>
      </c>
      <c r="D13" s="122" t="s">
        <v>67</v>
      </c>
      <c r="F13" s="66" t="s">
        <v>6</v>
      </c>
      <c r="G13" s="77" t="str">
        <f t="shared" si="7"/>
        <v>FELIPE</v>
      </c>
      <c r="H13" s="116">
        <f t="shared" si="8"/>
        <v>5</v>
      </c>
      <c r="I13" s="116">
        <f t="shared" si="9"/>
        <v>8</v>
      </c>
      <c r="J13" s="116">
        <f t="shared" si="10"/>
        <v>4</v>
      </c>
      <c r="K13" s="116">
        <f t="shared" si="11"/>
        <v>4</v>
      </c>
      <c r="L13" s="116">
        <f t="shared" si="5"/>
        <v>21</v>
      </c>
      <c r="M13" s="116">
        <f t="shared" si="6"/>
        <v>10</v>
      </c>
      <c r="N13" s="6"/>
      <c r="O13" s="6"/>
      <c r="P13" s="6"/>
      <c r="Q13" s="6"/>
      <c r="R13" s="6"/>
      <c r="S13" s="6"/>
    </row>
    <row r="14" spans="3:22" x14ac:dyDescent="0.25">
      <c r="C14" s="134" t="s">
        <v>6</v>
      </c>
      <c r="D14" s="122" t="s">
        <v>96</v>
      </c>
      <c r="F14" s="66" t="s">
        <v>59</v>
      </c>
      <c r="G14" s="77" t="str">
        <f t="shared" si="7"/>
        <v>GUILHERME</v>
      </c>
      <c r="H14" s="116">
        <f t="shared" si="8"/>
        <v>4</v>
      </c>
      <c r="I14" s="116">
        <f t="shared" si="9"/>
        <v>5</v>
      </c>
      <c r="J14" s="116">
        <f t="shared" si="10"/>
        <v>7</v>
      </c>
      <c r="K14" s="116">
        <f t="shared" si="11"/>
        <v>4</v>
      </c>
      <c r="L14" s="116">
        <f t="shared" si="5"/>
        <v>20</v>
      </c>
      <c r="M14" s="116">
        <f t="shared" si="6"/>
        <v>11</v>
      </c>
      <c r="N14" s="6"/>
      <c r="O14" s="6"/>
      <c r="P14" s="6"/>
      <c r="Q14" s="6"/>
      <c r="R14" s="6"/>
      <c r="S14" s="6"/>
      <c r="T14" s="6"/>
      <c r="U14" s="117"/>
      <c r="V14" s="17"/>
    </row>
    <row r="15" spans="3:22" x14ac:dyDescent="0.25">
      <c r="C15" s="134" t="s">
        <v>59</v>
      </c>
      <c r="D15" s="122" t="s">
        <v>133</v>
      </c>
      <c r="F15" s="66" t="s">
        <v>95</v>
      </c>
      <c r="G15" s="77" t="str">
        <f t="shared" si="7"/>
        <v>RICHER</v>
      </c>
      <c r="H15" s="116">
        <f t="shared" si="8"/>
        <v>4</v>
      </c>
      <c r="I15" s="116">
        <f t="shared" si="9"/>
        <v>4</v>
      </c>
      <c r="J15" s="116">
        <f t="shared" si="10"/>
        <v>7</v>
      </c>
      <c r="K15" s="116">
        <f t="shared" si="11"/>
        <v>6</v>
      </c>
      <c r="L15" s="116">
        <f t="shared" si="5"/>
        <v>21</v>
      </c>
      <c r="M15" s="116">
        <f t="shared" si="6"/>
        <v>10</v>
      </c>
      <c r="N15" s="6"/>
      <c r="O15" s="6"/>
      <c r="P15" s="6"/>
      <c r="Q15" s="6"/>
      <c r="R15" s="6"/>
      <c r="S15" s="6"/>
      <c r="T15" s="6"/>
      <c r="U15" s="117"/>
      <c r="V15" s="17"/>
    </row>
    <row r="16" spans="3:22" x14ac:dyDescent="0.25">
      <c r="C16" s="135" t="s">
        <v>95</v>
      </c>
      <c r="D16" s="122" t="s">
        <v>100</v>
      </c>
      <c r="F16" s="66" t="s">
        <v>99</v>
      </c>
      <c r="G16" s="77">
        <f t="shared" si="7"/>
        <v>0</v>
      </c>
      <c r="H16" s="116">
        <f t="shared" si="8"/>
        <v>0</v>
      </c>
      <c r="I16" s="116">
        <f t="shared" si="9"/>
        <v>0</v>
      </c>
      <c r="J16" s="116">
        <f t="shared" si="10"/>
        <v>0</v>
      </c>
      <c r="K16" s="116">
        <f t="shared" si="11"/>
        <v>0</v>
      </c>
      <c r="L16" s="116">
        <f t="shared" si="5"/>
        <v>0</v>
      </c>
      <c r="M16" s="116">
        <f t="shared" si="6"/>
        <v>31</v>
      </c>
      <c r="N16" s="6"/>
      <c r="O16" s="6"/>
      <c r="P16" s="6"/>
      <c r="Q16" s="6"/>
      <c r="R16" s="6"/>
      <c r="S16" s="6"/>
      <c r="T16" s="6"/>
      <c r="U16" s="117"/>
      <c r="V16" s="17"/>
    </row>
    <row r="17" spans="1:22" ht="15.75" thickBot="1" x14ac:dyDescent="0.3">
      <c r="C17" s="136" t="s">
        <v>99</v>
      </c>
      <c r="D17" s="137"/>
      <c r="F17" s="138" t="s">
        <v>62</v>
      </c>
      <c r="G17" s="79" t="str">
        <f>D21</f>
        <v>TONINHO</v>
      </c>
      <c r="H17" s="139" t="s">
        <v>68</v>
      </c>
      <c r="I17" s="139">
        <f>COUNTIF($G$26:$K$60,F17)</f>
        <v>4</v>
      </c>
      <c r="J17" s="139">
        <f>COUNTIF($M$26:$Q$61,F17)</f>
        <v>17</v>
      </c>
      <c r="K17" s="139" t="s">
        <v>68</v>
      </c>
      <c r="L17" s="139">
        <f t="shared" si="5"/>
        <v>21</v>
      </c>
      <c r="M17" s="139">
        <f t="shared" si="6"/>
        <v>10</v>
      </c>
      <c r="N17" s="6"/>
      <c r="O17" s="6"/>
      <c r="P17" s="6"/>
      <c r="Q17" s="6"/>
      <c r="R17" s="6"/>
      <c r="S17" s="6"/>
      <c r="T17" s="6"/>
      <c r="U17" s="117"/>
      <c r="V17" s="17"/>
    </row>
    <row r="18" spans="1:22" ht="15.75" thickBot="1" x14ac:dyDescent="0.3">
      <c r="C18" s="140" t="s">
        <v>19</v>
      </c>
      <c r="D18" s="141"/>
      <c r="E18" s="27"/>
      <c r="F18" s="138" t="s">
        <v>63</v>
      </c>
      <c r="G18" s="79" t="str">
        <f>D22</f>
        <v>CLEITON</v>
      </c>
      <c r="H18" s="139" t="s">
        <v>68</v>
      </c>
      <c r="I18" s="139">
        <f>COUNTIF($G$26:$K$60,F18)</f>
        <v>17</v>
      </c>
      <c r="J18" s="139">
        <f>COUNTIF($M$26:$Q$61,F18)</f>
        <v>4</v>
      </c>
      <c r="K18" s="139" t="s">
        <v>68</v>
      </c>
      <c r="L18" s="139">
        <f t="shared" si="5"/>
        <v>21</v>
      </c>
      <c r="M18" s="139">
        <f t="shared" si="6"/>
        <v>10</v>
      </c>
      <c r="N18" s="6"/>
      <c r="O18" s="6"/>
      <c r="P18" s="6"/>
      <c r="Q18" s="6"/>
      <c r="R18" s="6"/>
      <c r="S18" s="6"/>
      <c r="T18" s="6"/>
      <c r="U18" s="117"/>
      <c r="V18" s="17"/>
    </row>
    <row r="19" spans="1:22" ht="15.75" thickBot="1" x14ac:dyDescent="0.3">
      <c r="C19" s="142" t="s">
        <v>66</v>
      </c>
      <c r="D19" s="143"/>
      <c r="E19" s="27"/>
      <c r="F19" s="27"/>
      <c r="G19" s="27"/>
      <c r="H19" s="27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117"/>
      <c r="V19" s="17"/>
    </row>
    <row r="20" spans="1:22" ht="15.75" thickBot="1" x14ac:dyDescent="0.3">
      <c r="C20" s="140" t="s">
        <v>24</v>
      </c>
      <c r="D20" s="144"/>
      <c r="E20" s="27"/>
      <c r="F20" s="27"/>
      <c r="G20" s="27"/>
      <c r="H20" s="27"/>
      <c r="I20" s="6"/>
      <c r="J20" s="6"/>
      <c r="K20" s="6"/>
      <c r="L20" s="6"/>
      <c r="M20" s="6" t="s">
        <v>97</v>
      </c>
      <c r="N20" s="6"/>
      <c r="O20" s="6"/>
      <c r="P20" s="6"/>
      <c r="Q20" s="6"/>
      <c r="R20" s="6"/>
      <c r="S20" s="6"/>
      <c r="T20" s="6" t="s">
        <v>142</v>
      </c>
      <c r="U20" s="117"/>
      <c r="V20" s="17"/>
    </row>
    <row r="21" spans="1:22" x14ac:dyDescent="0.25">
      <c r="C21" s="145" t="s">
        <v>62</v>
      </c>
      <c r="D21" s="146" t="s">
        <v>64</v>
      </c>
      <c r="E21" s="27"/>
      <c r="F21" s="27"/>
      <c r="G21" s="27"/>
      <c r="H21" s="27"/>
      <c r="I21" s="6"/>
      <c r="J21" s="6"/>
      <c r="K21" s="6"/>
      <c r="L21" s="6"/>
      <c r="M21" s="6">
        <v>31</v>
      </c>
      <c r="N21" s="6"/>
      <c r="O21" s="6"/>
      <c r="P21" s="6"/>
      <c r="Q21" s="6"/>
      <c r="R21" s="6"/>
      <c r="S21" s="6"/>
      <c r="T21" s="6"/>
      <c r="U21" s="117"/>
      <c r="V21" s="17"/>
    </row>
    <row r="22" spans="1:22" ht="15.75" thickBot="1" x14ac:dyDescent="0.3">
      <c r="C22" s="147" t="s">
        <v>63</v>
      </c>
      <c r="D22" s="148" t="s">
        <v>65</v>
      </c>
      <c r="E22" s="27"/>
      <c r="F22" s="27"/>
      <c r="G22" s="27"/>
      <c r="H22" s="27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117"/>
      <c r="V22" s="17"/>
    </row>
    <row r="23" spans="1:22" x14ac:dyDescent="0.25">
      <c r="C23" s="125"/>
      <c r="D23" s="125"/>
      <c r="E23" s="27"/>
      <c r="F23" s="27"/>
      <c r="G23" s="27"/>
      <c r="H23" s="27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117"/>
      <c r="V23" s="17"/>
    </row>
    <row r="24" spans="1:22" x14ac:dyDescent="0.25">
      <c r="C24" s="125"/>
      <c r="D24" s="125"/>
      <c r="E24" s="27"/>
      <c r="F24" s="27"/>
      <c r="G24" s="27"/>
      <c r="H24" s="27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117"/>
      <c r="V24" s="17"/>
    </row>
    <row r="25" spans="1:22" x14ac:dyDescent="0.25">
      <c r="A25" s="149"/>
      <c r="B25" s="149"/>
      <c r="C25" s="150" t="s">
        <v>29</v>
      </c>
      <c r="D25" s="150" t="s">
        <v>41</v>
      </c>
      <c r="E25" s="150" t="s">
        <v>29</v>
      </c>
      <c r="F25" s="150" t="s">
        <v>41</v>
      </c>
      <c r="G25" s="150" t="s">
        <v>30</v>
      </c>
      <c r="H25" s="150" t="s">
        <v>41</v>
      </c>
      <c r="I25" s="150" t="s">
        <v>30</v>
      </c>
      <c r="J25" s="150" t="s">
        <v>41</v>
      </c>
      <c r="K25" s="150" t="s">
        <v>61</v>
      </c>
      <c r="L25" s="150" t="s">
        <v>41</v>
      </c>
      <c r="M25" s="150" t="s">
        <v>61</v>
      </c>
      <c r="N25" s="150" t="s">
        <v>41</v>
      </c>
      <c r="O25" s="151" t="s">
        <v>31</v>
      </c>
      <c r="P25" s="150" t="s">
        <v>41</v>
      </c>
      <c r="Q25" s="151" t="s">
        <v>31</v>
      </c>
      <c r="R25" s="150" t="s">
        <v>41</v>
      </c>
      <c r="S25" s="151" t="s">
        <v>8</v>
      </c>
      <c r="T25" s="150" t="s">
        <v>41</v>
      </c>
      <c r="U25" s="151" t="s">
        <v>40</v>
      </c>
      <c r="V25" s="150" t="s">
        <v>41</v>
      </c>
    </row>
    <row r="26" spans="1:22" s="152" customFormat="1" ht="15.75" x14ac:dyDescent="0.25">
      <c r="A26" s="86">
        <v>46082</v>
      </c>
      <c r="B26" s="68"/>
      <c r="C26" s="94" t="s">
        <v>26</v>
      </c>
      <c r="D26" s="85" t="str">
        <f t="shared" ref="D26:D56" si="12">VLOOKUP(C26,$C$3:$D$25,2,FALSE)</f>
        <v>EDUARDO</v>
      </c>
      <c r="E26" s="95" t="s">
        <v>6</v>
      </c>
      <c r="F26" s="83" t="str">
        <f t="shared" ref="F26:F56" si="13">VLOOKUP(E26,$C$3:$D$22,2,FALSE)</f>
        <v>FELIPE</v>
      </c>
      <c r="G26" s="94" t="s">
        <v>0</v>
      </c>
      <c r="H26" s="71" t="str">
        <f t="shared" ref="H26:H56" si="14">VLOOKUP(G26,$C$3:$D$25,2,FALSE)</f>
        <v>RODRIGO</v>
      </c>
      <c r="I26" s="95" t="s">
        <v>28</v>
      </c>
      <c r="J26" s="83" t="str">
        <f t="shared" ref="J26:J56" si="15">VLOOKUP(I26,$C$3:$D$22,2,FALSE)</f>
        <v>THAIS</v>
      </c>
      <c r="K26" s="80"/>
      <c r="L26" s="84" t="e">
        <f t="shared" ref="L26:L56" si="16">VLOOKUP(K26,$C$3:$D$22,2,FALSE)</f>
        <v>#N/A</v>
      </c>
      <c r="M26" s="80"/>
      <c r="N26" s="69" t="e">
        <f t="shared" ref="N26:N56" si="17">VLOOKUP(M26,$C$3:$D$22,2,FALSE)</f>
        <v>#N/A</v>
      </c>
      <c r="O26" s="94" t="s">
        <v>8</v>
      </c>
      <c r="P26" s="85" t="str">
        <f t="shared" ref="P26:P56" si="18">VLOOKUP(O26,$C$3:$D$25,2,FALSE)</f>
        <v>ALLAN</v>
      </c>
      <c r="Q26" s="95" t="s">
        <v>10</v>
      </c>
      <c r="R26" s="83" t="str">
        <f t="shared" ref="R26:R56" si="19">VLOOKUP(Q26,$C$3:$D$22,2,FALSE)</f>
        <v>VITORIA</v>
      </c>
      <c r="S26" s="96" t="s">
        <v>12</v>
      </c>
      <c r="T26" s="85" t="str">
        <f t="shared" ref="T26:T56" si="20">VLOOKUP(S26,$C$3:$D$25,2,FALSE)</f>
        <v>B.MACHADO</v>
      </c>
      <c r="U26" s="97" t="s">
        <v>95</v>
      </c>
      <c r="V26" s="85" t="str">
        <f t="shared" ref="V26:V56" si="21">VLOOKUP(U26,$C$3:$D$22,2,FALSE)</f>
        <v>RICHER</v>
      </c>
    </row>
    <row r="27" spans="1:22" ht="15.75" x14ac:dyDescent="0.25">
      <c r="A27" s="86">
        <f>A26+1</f>
        <v>46083</v>
      </c>
      <c r="B27" s="68"/>
      <c r="C27" s="94" t="s">
        <v>1</v>
      </c>
      <c r="D27" s="85" t="str">
        <f t="shared" si="12"/>
        <v>MARCO</v>
      </c>
      <c r="E27" s="95" t="s">
        <v>4</v>
      </c>
      <c r="F27" s="85" t="str">
        <f t="shared" si="13"/>
        <v>BRANCÃO</v>
      </c>
      <c r="G27" s="94" t="s">
        <v>0</v>
      </c>
      <c r="H27" s="85" t="str">
        <f t="shared" si="14"/>
        <v>RODRIGO</v>
      </c>
      <c r="I27" s="95" t="s">
        <v>28</v>
      </c>
      <c r="J27" s="85" t="str">
        <f t="shared" si="15"/>
        <v>THAIS</v>
      </c>
      <c r="K27" s="80"/>
      <c r="L27" s="84" t="e">
        <f t="shared" si="16"/>
        <v>#N/A</v>
      </c>
      <c r="M27" s="80"/>
      <c r="N27" s="69" t="e">
        <f t="shared" si="17"/>
        <v>#N/A</v>
      </c>
      <c r="O27" s="94" t="s">
        <v>12</v>
      </c>
      <c r="P27" s="85" t="str">
        <f t="shared" si="18"/>
        <v>B.MACHADO</v>
      </c>
      <c r="Q27" s="95" t="s">
        <v>59</v>
      </c>
      <c r="R27" s="85" t="str">
        <f t="shared" si="19"/>
        <v>GUILHERME</v>
      </c>
      <c r="S27" s="182" t="s">
        <v>8</v>
      </c>
      <c r="T27" s="71" t="str">
        <f t="shared" si="20"/>
        <v>ALLAN</v>
      </c>
      <c r="U27" s="97" t="s">
        <v>95</v>
      </c>
      <c r="V27" s="85" t="str">
        <f t="shared" si="21"/>
        <v>RICHER</v>
      </c>
    </row>
    <row r="28" spans="1:22" ht="15.75" x14ac:dyDescent="0.25">
      <c r="A28" s="86">
        <f t="shared" ref="A28:A56" si="22">A27+1</f>
        <v>46084</v>
      </c>
      <c r="B28" s="68"/>
      <c r="C28" s="94" t="s">
        <v>1</v>
      </c>
      <c r="D28" s="85" t="str">
        <f t="shared" si="12"/>
        <v>MARCO</v>
      </c>
      <c r="E28" s="95" t="s">
        <v>4</v>
      </c>
      <c r="F28" s="85" t="str">
        <f t="shared" si="13"/>
        <v>BRANCÃO</v>
      </c>
      <c r="G28" s="94" t="s">
        <v>12</v>
      </c>
      <c r="H28" s="85" t="str">
        <f t="shared" si="14"/>
        <v>B.MACHADO</v>
      </c>
      <c r="I28" s="95" t="s">
        <v>6</v>
      </c>
      <c r="J28" s="85" t="str">
        <f t="shared" si="15"/>
        <v>FELIPE</v>
      </c>
      <c r="K28" s="80" t="s">
        <v>63</v>
      </c>
      <c r="L28" s="84" t="str">
        <f t="shared" si="16"/>
        <v>CLEITON</v>
      </c>
      <c r="M28" s="80" t="s">
        <v>62</v>
      </c>
      <c r="N28" s="69" t="str">
        <f t="shared" si="17"/>
        <v>TONINHO</v>
      </c>
      <c r="O28" s="94" t="s">
        <v>27</v>
      </c>
      <c r="P28" s="85" t="str">
        <f t="shared" si="18"/>
        <v>B.SELAYARAN</v>
      </c>
      <c r="Q28" s="95" t="s">
        <v>59</v>
      </c>
      <c r="R28" s="85" t="str">
        <f t="shared" si="19"/>
        <v>GUILHERME</v>
      </c>
      <c r="S28" s="180" t="s">
        <v>26</v>
      </c>
      <c r="T28" s="181" t="str">
        <f t="shared" si="20"/>
        <v>EDUARDO</v>
      </c>
      <c r="U28" s="97" t="s">
        <v>10</v>
      </c>
      <c r="V28" s="85" t="str">
        <f t="shared" si="21"/>
        <v>VITORIA</v>
      </c>
    </row>
    <row r="29" spans="1:22" ht="15.75" x14ac:dyDescent="0.25">
      <c r="A29" s="86">
        <f t="shared" si="22"/>
        <v>46085</v>
      </c>
      <c r="B29" s="68"/>
      <c r="C29" s="176" t="s">
        <v>0</v>
      </c>
      <c r="D29" s="85" t="str">
        <f t="shared" si="12"/>
        <v>RODRIGO</v>
      </c>
      <c r="E29" s="177" t="s">
        <v>4</v>
      </c>
      <c r="F29" s="85" t="str">
        <f t="shared" si="13"/>
        <v>BRANCÃO</v>
      </c>
      <c r="G29" s="94" t="s">
        <v>12</v>
      </c>
      <c r="H29" s="85" t="str">
        <f t="shared" si="14"/>
        <v>B.MACHADO</v>
      </c>
      <c r="I29" s="177" t="s">
        <v>6</v>
      </c>
      <c r="J29" s="85" t="str">
        <f t="shared" si="15"/>
        <v>FELIPE</v>
      </c>
      <c r="K29" s="81" t="s">
        <v>63</v>
      </c>
      <c r="L29" s="84" t="str">
        <f t="shared" si="16"/>
        <v>CLEITON</v>
      </c>
      <c r="M29" s="81" t="s">
        <v>62</v>
      </c>
      <c r="N29" s="69" t="str">
        <f t="shared" si="17"/>
        <v>TONINHO</v>
      </c>
      <c r="O29" s="176" t="s">
        <v>27</v>
      </c>
      <c r="P29" s="85" t="str">
        <f t="shared" si="18"/>
        <v>B.SELAYARAN</v>
      </c>
      <c r="Q29" s="177" t="s">
        <v>59</v>
      </c>
      <c r="R29" s="85" t="str">
        <f t="shared" si="19"/>
        <v>GUILHERME</v>
      </c>
      <c r="S29" s="178" t="s">
        <v>26</v>
      </c>
      <c r="T29" s="85" t="str">
        <f t="shared" si="20"/>
        <v>EDUARDO</v>
      </c>
      <c r="U29" s="179" t="s">
        <v>10</v>
      </c>
      <c r="V29" s="85" t="str">
        <f t="shared" si="21"/>
        <v>VITORIA</v>
      </c>
    </row>
    <row r="30" spans="1:22" ht="15.75" x14ac:dyDescent="0.25">
      <c r="A30" s="86">
        <f t="shared" si="22"/>
        <v>46086</v>
      </c>
      <c r="B30" s="68"/>
      <c r="C30" s="94" t="s">
        <v>0</v>
      </c>
      <c r="D30" s="85" t="str">
        <f t="shared" si="12"/>
        <v>RODRIGO</v>
      </c>
      <c r="E30" s="95" t="s">
        <v>28</v>
      </c>
      <c r="F30" s="85" t="str">
        <f t="shared" si="13"/>
        <v>THAIS</v>
      </c>
      <c r="G30" s="94" t="s">
        <v>8</v>
      </c>
      <c r="H30" s="85" t="str">
        <f t="shared" si="14"/>
        <v>ALLAN</v>
      </c>
      <c r="I30" s="95" t="s">
        <v>6</v>
      </c>
      <c r="J30" s="85" t="str">
        <f t="shared" si="15"/>
        <v>FELIPE</v>
      </c>
      <c r="K30" s="80" t="s">
        <v>63</v>
      </c>
      <c r="L30" s="84" t="str">
        <f t="shared" si="16"/>
        <v>CLEITON</v>
      </c>
      <c r="M30" s="80" t="s">
        <v>62</v>
      </c>
      <c r="N30" s="69" t="str">
        <f t="shared" si="17"/>
        <v>TONINHO</v>
      </c>
      <c r="O30" s="94" t="s">
        <v>12</v>
      </c>
      <c r="P30" s="85" t="str">
        <f t="shared" si="18"/>
        <v>B.MACHADO</v>
      </c>
      <c r="Q30" s="95" t="s">
        <v>95</v>
      </c>
      <c r="R30" s="85" t="str">
        <f t="shared" si="19"/>
        <v>RICHER</v>
      </c>
      <c r="S30" s="96" t="s">
        <v>1</v>
      </c>
      <c r="T30" s="85" t="str">
        <f t="shared" si="20"/>
        <v>MARCO</v>
      </c>
      <c r="U30" s="97" t="s">
        <v>10</v>
      </c>
      <c r="V30" s="85" t="str">
        <f t="shared" si="21"/>
        <v>VITORIA</v>
      </c>
    </row>
    <row r="31" spans="1:22" ht="15.75" x14ac:dyDescent="0.25">
      <c r="A31" s="86">
        <f t="shared" si="22"/>
        <v>46087</v>
      </c>
      <c r="B31" s="68"/>
      <c r="C31" s="94" t="s">
        <v>0</v>
      </c>
      <c r="D31" s="85" t="str">
        <f t="shared" si="12"/>
        <v>RODRIGO</v>
      </c>
      <c r="E31" s="95" t="s">
        <v>28</v>
      </c>
      <c r="F31" s="85" t="str">
        <f t="shared" si="13"/>
        <v>THAIS</v>
      </c>
      <c r="G31" s="94" t="s">
        <v>8</v>
      </c>
      <c r="H31" s="85" t="str">
        <f t="shared" si="14"/>
        <v>ALLAN</v>
      </c>
      <c r="I31" s="95" t="s">
        <v>6</v>
      </c>
      <c r="J31" s="85" t="str">
        <f t="shared" si="15"/>
        <v>FELIPE</v>
      </c>
      <c r="K31" s="81" t="s">
        <v>63</v>
      </c>
      <c r="L31" s="84" t="str">
        <f t="shared" si="16"/>
        <v>CLEITON</v>
      </c>
      <c r="M31" s="81" t="s">
        <v>62</v>
      </c>
      <c r="N31" s="69" t="str">
        <f t="shared" si="17"/>
        <v>TONINHO</v>
      </c>
      <c r="O31" s="94" t="s">
        <v>12</v>
      </c>
      <c r="P31" s="85" t="str">
        <f t="shared" si="18"/>
        <v>B.MACHADO</v>
      </c>
      <c r="Q31" s="95" t="s">
        <v>95</v>
      </c>
      <c r="R31" s="85" t="str">
        <f t="shared" si="19"/>
        <v>RICHER</v>
      </c>
      <c r="S31" s="96" t="s">
        <v>1</v>
      </c>
      <c r="T31" s="85" t="str">
        <f t="shared" si="20"/>
        <v>MARCO</v>
      </c>
      <c r="U31" s="97" t="s">
        <v>10</v>
      </c>
      <c r="V31" s="85" t="str">
        <f t="shared" si="21"/>
        <v>VITORIA</v>
      </c>
    </row>
    <row r="32" spans="1:22" ht="15.75" x14ac:dyDescent="0.25">
      <c r="A32" s="86">
        <f t="shared" si="22"/>
        <v>46088</v>
      </c>
      <c r="B32" s="68"/>
      <c r="C32" s="94" t="s">
        <v>27</v>
      </c>
      <c r="D32" s="85" t="str">
        <f t="shared" si="12"/>
        <v>B.SELAYARAN</v>
      </c>
      <c r="E32" s="95" t="s">
        <v>28</v>
      </c>
      <c r="F32" s="85" t="str">
        <f t="shared" si="13"/>
        <v>THAIS</v>
      </c>
      <c r="G32" s="94" t="s">
        <v>8</v>
      </c>
      <c r="H32" s="174" t="str">
        <f t="shared" si="14"/>
        <v>ALLAN</v>
      </c>
      <c r="I32" s="95" t="s">
        <v>59</v>
      </c>
      <c r="J32" s="85" t="str">
        <f t="shared" si="15"/>
        <v>GUILHERME</v>
      </c>
      <c r="K32" s="80" t="s">
        <v>62</v>
      </c>
      <c r="L32" s="84" t="str">
        <f t="shared" si="16"/>
        <v>TONINHO</v>
      </c>
      <c r="M32" s="80" t="s">
        <v>63</v>
      </c>
      <c r="N32" s="69" t="str">
        <f t="shared" si="17"/>
        <v>CLEITON</v>
      </c>
      <c r="O32" s="94" t="s">
        <v>26</v>
      </c>
      <c r="P32" s="85" t="str">
        <f t="shared" si="18"/>
        <v>EDUARDO</v>
      </c>
      <c r="Q32" s="95" t="s">
        <v>95</v>
      </c>
      <c r="R32" s="85" t="str">
        <f t="shared" si="19"/>
        <v>RICHER</v>
      </c>
      <c r="S32" s="96" t="s">
        <v>1</v>
      </c>
      <c r="T32" s="85" t="str">
        <f t="shared" si="20"/>
        <v>MARCO</v>
      </c>
      <c r="U32" s="97" t="s">
        <v>4</v>
      </c>
      <c r="V32" s="85" t="str">
        <f t="shared" si="21"/>
        <v>BRANCÃO</v>
      </c>
    </row>
    <row r="33" spans="1:22" ht="15.75" x14ac:dyDescent="0.25">
      <c r="A33" s="86">
        <f t="shared" si="22"/>
        <v>46089</v>
      </c>
      <c r="B33" s="68"/>
      <c r="C33" s="94" t="s">
        <v>27</v>
      </c>
      <c r="D33" s="85" t="str">
        <f t="shared" si="12"/>
        <v>B.SELAYARAN</v>
      </c>
      <c r="E33" s="95" t="s">
        <v>28</v>
      </c>
      <c r="F33" s="85" t="str">
        <f t="shared" si="13"/>
        <v>THAIS</v>
      </c>
      <c r="G33" s="94" t="s">
        <v>8</v>
      </c>
      <c r="H33" s="174" t="str">
        <f t="shared" si="14"/>
        <v>ALLAN</v>
      </c>
      <c r="I33" s="95" t="s">
        <v>59</v>
      </c>
      <c r="J33" s="85" t="str">
        <f t="shared" si="15"/>
        <v>GUILHERME</v>
      </c>
      <c r="K33" s="80"/>
      <c r="L33" s="84" t="e">
        <f t="shared" si="16"/>
        <v>#N/A</v>
      </c>
      <c r="M33" s="80"/>
      <c r="N33" s="69" t="e">
        <f t="shared" si="17"/>
        <v>#N/A</v>
      </c>
      <c r="O33" s="94" t="s">
        <v>26</v>
      </c>
      <c r="P33" s="85" t="str">
        <f t="shared" si="18"/>
        <v>EDUARDO</v>
      </c>
      <c r="Q33" s="95" t="s">
        <v>95</v>
      </c>
      <c r="R33" s="85" t="str">
        <f t="shared" si="19"/>
        <v>RICHER</v>
      </c>
      <c r="S33" s="96" t="s">
        <v>1</v>
      </c>
      <c r="T33" s="85" t="str">
        <f t="shared" si="20"/>
        <v>MARCO</v>
      </c>
      <c r="U33" s="97" t="s">
        <v>4</v>
      </c>
      <c r="V33" s="85" t="str">
        <f t="shared" si="21"/>
        <v>BRANCÃO</v>
      </c>
    </row>
    <row r="34" spans="1:22" ht="15.75" x14ac:dyDescent="0.25">
      <c r="A34" s="86">
        <f t="shared" si="22"/>
        <v>46090</v>
      </c>
      <c r="B34" s="70"/>
      <c r="C34" s="94" t="s">
        <v>27</v>
      </c>
      <c r="D34" s="85" t="str">
        <f t="shared" si="12"/>
        <v>B.SELAYARAN</v>
      </c>
      <c r="E34" s="95" t="s">
        <v>6</v>
      </c>
      <c r="F34" s="85" t="str">
        <f t="shared" si="13"/>
        <v>FELIPE</v>
      </c>
      <c r="G34" s="94" t="s">
        <v>12</v>
      </c>
      <c r="H34" s="174" t="str">
        <f t="shared" si="14"/>
        <v>B.MACHADO</v>
      </c>
      <c r="I34" s="95" t="s">
        <v>59</v>
      </c>
      <c r="J34" s="85" t="str">
        <f t="shared" si="15"/>
        <v>GUILHERME</v>
      </c>
      <c r="K34" s="80"/>
      <c r="L34" s="84" t="e">
        <f t="shared" si="16"/>
        <v>#N/A</v>
      </c>
      <c r="M34" s="80"/>
      <c r="N34" s="69" t="e">
        <f t="shared" si="17"/>
        <v>#N/A</v>
      </c>
      <c r="O34" s="94" t="s">
        <v>26</v>
      </c>
      <c r="P34" s="85" t="str">
        <f t="shared" si="18"/>
        <v>EDUARDO</v>
      </c>
      <c r="Q34" s="95" t="s">
        <v>10</v>
      </c>
      <c r="R34" s="85" t="str">
        <f t="shared" si="19"/>
        <v>VITORIA</v>
      </c>
      <c r="S34" s="96" t="s">
        <v>0</v>
      </c>
      <c r="T34" s="85" t="str">
        <f t="shared" si="20"/>
        <v>RODRIGO</v>
      </c>
      <c r="U34" s="97" t="s">
        <v>4</v>
      </c>
      <c r="V34" s="85" t="str">
        <f t="shared" si="21"/>
        <v>BRANCÃO</v>
      </c>
    </row>
    <row r="35" spans="1:22" s="157" customFormat="1" ht="15.75" x14ac:dyDescent="0.25">
      <c r="A35" s="86">
        <f t="shared" si="22"/>
        <v>46091</v>
      </c>
      <c r="B35" s="70"/>
      <c r="C35" s="94" t="s">
        <v>27</v>
      </c>
      <c r="D35" s="85" t="str">
        <f t="shared" si="12"/>
        <v>B.SELAYARAN</v>
      </c>
      <c r="E35" s="95" t="s">
        <v>6</v>
      </c>
      <c r="F35" s="85" t="str">
        <f t="shared" si="13"/>
        <v>FELIPE</v>
      </c>
      <c r="G35" s="94" t="s">
        <v>12</v>
      </c>
      <c r="H35" s="174" t="str">
        <f t="shared" si="14"/>
        <v>B.MACHADO</v>
      </c>
      <c r="I35" s="95" t="s">
        <v>59</v>
      </c>
      <c r="J35" s="85" t="str">
        <f t="shared" si="15"/>
        <v>GUILHERME</v>
      </c>
      <c r="K35" s="80" t="s">
        <v>63</v>
      </c>
      <c r="L35" s="84" t="str">
        <f t="shared" si="16"/>
        <v>CLEITON</v>
      </c>
      <c r="M35" s="80" t="s">
        <v>62</v>
      </c>
      <c r="N35" s="69" t="str">
        <f t="shared" si="17"/>
        <v>TONINHO</v>
      </c>
      <c r="O35" s="94" t="s">
        <v>26</v>
      </c>
      <c r="P35" s="85" t="str">
        <f t="shared" si="18"/>
        <v>EDUARDO</v>
      </c>
      <c r="Q35" s="95" t="s">
        <v>10</v>
      </c>
      <c r="R35" s="85" t="str">
        <f t="shared" si="19"/>
        <v>VITORIA</v>
      </c>
      <c r="S35" s="96" t="s">
        <v>0</v>
      </c>
      <c r="T35" s="174" t="str">
        <f t="shared" si="20"/>
        <v>RODRIGO</v>
      </c>
      <c r="U35" s="97" t="s">
        <v>4</v>
      </c>
      <c r="V35" s="85" t="str">
        <f t="shared" si="21"/>
        <v>BRANCÃO</v>
      </c>
    </row>
    <row r="36" spans="1:22" ht="15.75" x14ac:dyDescent="0.25">
      <c r="A36" s="86">
        <f t="shared" si="22"/>
        <v>46092</v>
      </c>
      <c r="B36" s="68"/>
      <c r="C36" s="94" t="s">
        <v>8</v>
      </c>
      <c r="D36" s="85" t="str">
        <f t="shared" si="12"/>
        <v>ALLAN</v>
      </c>
      <c r="E36" s="95" t="s">
        <v>6</v>
      </c>
      <c r="F36" s="85" t="str">
        <f t="shared" si="13"/>
        <v>FELIPE</v>
      </c>
      <c r="G36" s="94" t="s">
        <v>12</v>
      </c>
      <c r="H36" s="174" t="str">
        <f t="shared" si="14"/>
        <v>B.MACHADO</v>
      </c>
      <c r="I36" s="95" t="s">
        <v>95</v>
      </c>
      <c r="J36" s="85" t="str">
        <f t="shared" si="15"/>
        <v>RICHER</v>
      </c>
      <c r="K36" s="81" t="s">
        <v>63</v>
      </c>
      <c r="L36" s="84" t="str">
        <f t="shared" si="16"/>
        <v>CLEITON</v>
      </c>
      <c r="M36" s="81" t="s">
        <v>62</v>
      </c>
      <c r="N36" s="69" t="str">
        <f t="shared" si="17"/>
        <v>TONINHO</v>
      </c>
      <c r="O36" s="94" t="s">
        <v>1</v>
      </c>
      <c r="P36" s="85" t="str">
        <f t="shared" si="18"/>
        <v>MARCO</v>
      </c>
      <c r="Q36" s="95" t="s">
        <v>10</v>
      </c>
      <c r="R36" s="85" t="str">
        <f t="shared" si="19"/>
        <v>VITORIA</v>
      </c>
      <c r="S36" s="96" t="s">
        <v>0</v>
      </c>
      <c r="T36" s="85" t="str">
        <f t="shared" si="20"/>
        <v>RODRIGO</v>
      </c>
      <c r="U36" s="97" t="s">
        <v>28</v>
      </c>
      <c r="V36" s="85" t="str">
        <f t="shared" si="21"/>
        <v>THAIS</v>
      </c>
    </row>
    <row r="37" spans="1:22" ht="15.75" x14ac:dyDescent="0.25">
      <c r="A37" s="86">
        <f t="shared" si="22"/>
        <v>46093</v>
      </c>
      <c r="B37" s="68"/>
      <c r="C37" s="94" t="s">
        <v>8</v>
      </c>
      <c r="D37" s="85" t="str">
        <f t="shared" si="12"/>
        <v>ALLAN</v>
      </c>
      <c r="E37" s="95" t="s">
        <v>6</v>
      </c>
      <c r="F37" s="85" t="str">
        <f t="shared" si="13"/>
        <v>FELIPE</v>
      </c>
      <c r="G37" s="94" t="s">
        <v>12</v>
      </c>
      <c r="H37" s="174" t="str">
        <f t="shared" si="14"/>
        <v>B.MACHADO</v>
      </c>
      <c r="I37" s="95" t="s">
        <v>95</v>
      </c>
      <c r="J37" s="85" t="str">
        <f t="shared" si="15"/>
        <v>RICHER</v>
      </c>
      <c r="K37" s="80" t="s">
        <v>63</v>
      </c>
      <c r="L37" s="84" t="str">
        <f t="shared" si="16"/>
        <v>CLEITON</v>
      </c>
      <c r="M37" s="80" t="s">
        <v>62</v>
      </c>
      <c r="N37" s="69" t="str">
        <f t="shared" si="17"/>
        <v>TONINHO</v>
      </c>
      <c r="O37" s="94" t="s">
        <v>1</v>
      </c>
      <c r="P37" s="85" t="str">
        <f t="shared" si="18"/>
        <v>MARCO</v>
      </c>
      <c r="Q37" s="95" t="s">
        <v>10</v>
      </c>
      <c r="R37" s="85" t="str">
        <f t="shared" si="19"/>
        <v>VITORIA</v>
      </c>
      <c r="S37" s="96" t="s">
        <v>0</v>
      </c>
      <c r="T37" s="85" t="str">
        <f t="shared" si="20"/>
        <v>RODRIGO</v>
      </c>
      <c r="U37" s="97" t="s">
        <v>28</v>
      </c>
      <c r="V37" s="85" t="str">
        <f t="shared" si="21"/>
        <v>THAIS</v>
      </c>
    </row>
    <row r="38" spans="1:22" ht="15.75" x14ac:dyDescent="0.25">
      <c r="A38" s="86">
        <f t="shared" si="22"/>
        <v>46094</v>
      </c>
      <c r="B38" s="68"/>
      <c r="C38" s="94" t="s">
        <v>8</v>
      </c>
      <c r="D38" s="85" t="str">
        <f t="shared" si="12"/>
        <v>ALLAN</v>
      </c>
      <c r="E38" s="95" t="s">
        <v>59</v>
      </c>
      <c r="F38" s="85" t="str">
        <f t="shared" si="13"/>
        <v>GUILHERME</v>
      </c>
      <c r="G38" s="94" t="s">
        <v>26</v>
      </c>
      <c r="H38" s="174" t="str">
        <f t="shared" si="14"/>
        <v>EDUARDO</v>
      </c>
      <c r="I38" s="95" t="s">
        <v>95</v>
      </c>
      <c r="J38" s="85" t="str">
        <f t="shared" si="15"/>
        <v>RICHER</v>
      </c>
      <c r="K38" s="81" t="s">
        <v>63</v>
      </c>
      <c r="L38" s="84" t="str">
        <f t="shared" si="16"/>
        <v>CLEITON</v>
      </c>
      <c r="M38" s="81" t="s">
        <v>62</v>
      </c>
      <c r="N38" s="69" t="str">
        <f t="shared" si="17"/>
        <v>TONINHO</v>
      </c>
      <c r="O38" s="94" t="s">
        <v>1</v>
      </c>
      <c r="P38" s="85" t="str">
        <f t="shared" si="18"/>
        <v>MARCO</v>
      </c>
      <c r="Q38" s="95" t="s">
        <v>4</v>
      </c>
      <c r="R38" s="85" t="str">
        <f t="shared" si="19"/>
        <v>BRANCÃO</v>
      </c>
      <c r="S38" s="96" t="s">
        <v>27</v>
      </c>
      <c r="T38" s="85" t="str">
        <f t="shared" si="20"/>
        <v>B.SELAYARAN</v>
      </c>
      <c r="U38" s="97" t="s">
        <v>28</v>
      </c>
      <c r="V38" s="85" t="str">
        <f t="shared" si="21"/>
        <v>THAIS</v>
      </c>
    </row>
    <row r="39" spans="1:22" ht="15.75" x14ac:dyDescent="0.25">
      <c r="A39" s="86">
        <f t="shared" si="22"/>
        <v>46095</v>
      </c>
      <c r="B39" s="68"/>
      <c r="C39" s="94" t="s">
        <v>8</v>
      </c>
      <c r="D39" s="85" t="str">
        <f t="shared" si="12"/>
        <v>ALLAN</v>
      </c>
      <c r="E39" s="95" t="s">
        <v>59</v>
      </c>
      <c r="F39" s="85" t="str">
        <f t="shared" si="13"/>
        <v>GUILHERME</v>
      </c>
      <c r="G39" s="94" t="s">
        <v>26</v>
      </c>
      <c r="H39" s="174" t="str">
        <f t="shared" si="14"/>
        <v>EDUARDO</v>
      </c>
      <c r="I39" s="95" t="s">
        <v>95</v>
      </c>
      <c r="J39" s="85" t="str">
        <f t="shared" si="15"/>
        <v>RICHER</v>
      </c>
      <c r="K39" s="80" t="s">
        <v>62</v>
      </c>
      <c r="L39" s="84" t="str">
        <f t="shared" si="16"/>
        <v>TONINHO</v>
      </c>
      <c r="M39" s="80" t="s">
        <v>63</v>
      </c>
      <c r="N39" s="69" t="str">
        <f t="shared" si="17"/>
        <v>CLEITON</v>
      </c>
      <c r="O39" s="94" t="s">
        <v>1</v>
      </c>
      <c r="P39" s="85" t="str">
        <f t="shared" si="18"/>
        <v>MARCO</v>
      </c>
      <c r="Q39" s="95" t="s">
        <v>4</v>
      </c>
      <c r="R39" s="85" t="str">
        <f t="shared" si="19"/>
        <v>BRANCÃO</v>
      </c>
      <c r="S39" s="96" t="s">
        <v>27</v>
      </c>
      <c r="T39" s="85" t="str">
        <f t="shared" si="20"/>
        <v>B.SELAYARAN</v>
      </c>
      <c r="U39" s="97" t="s">
        <v>28</v>
      </c>
      <c r="V39" s="85" t="str">
        <f t="shared" si="21"/>
        <v>THAIS</v>
      </c>
    </row>
    <row r="40" spans="1:22" ht="15.75" x14ac:dyDescent="0.25">
      <c r="A40" s="86">
        <f t="shared" si="22"/>
        <v>46096</v>
      </c>
      <c r="B40" s="68"/>
      <c r="C40" s="94" t="s">
        <v>12</v>
      </c>
      <c r="D40" s="85" t="str">
        <f t="shared" si="12"/>
        <v>B.MACHADO</v>
      </c>
      <c r="E40" s="95" t="s">
        <v>59</v>
      </c>
      <c r="F40" s="85" t="str">
        <f t="shared" si="13"/>
        <v>GUILHERME</v>
      </c>
      <c r="G40" s="94" t="s">
        <v>26</v>
      </c>
      <c r="H40" s="174" t="str">
        <f t="shared" si="14"/>
        <v>EDUARDO</v>
      </c>
      <c r="I40" s="95" t="s">
        <v>10</v>
      </c>
      <c r="J40" s="174" t="str">
        <f t="shared" si="15"/>
        <v>VITORIA</v>
      </c>
      <c r="K40" s="80"/>
      <c r="L40" s="84" t="e">
        <f t="shared" si="16"/>
        <v>#N/A</v>
      </c>
      <c r="M40" s="80"/>
      <c r="N40" s="69" t="e">
        <f t="shared" si="17"/>
        <v>#N/A</v>
      </c>
      <c r="O40" s="94" t="s">
        <v>0</v>
      </c>
      <c r="P40" s="85" t="str">
        <f t="shared" si="18"/>
        <v>RODRIGO</v>
      </c>
      <c r="Q40" s="95" t="s">
        <v>4</v>
      </c>
      <c r="R40" s="85" t="str">
        <f t="shared" si="19"/>
        <v>BRANCÃO</v>
      </c>
      <c r="S40" s="96" t="s">
        <v>27</v>
      </c>
      <c r="T40" s="85" t="str">
        <f t="shared" si="20"/>
        <v>B.SELAYARAN</v>
      </c>
      <c r="U40" s="97" t="s">
        <v>6</v>
      </c>
      <c r="V40" s="71" t="str">
        <f t="shared" si="21"/>
        <v>FELIPE</v>
      </c>
    </row>
    <row r="41" spans="1:22" ht="15.75" x14ac:dyDescent="0.25">
      <c r="A41" s="86">
        <f t="shared" si="22"/>
        <v>46097</v>
      </c>
      <c r="B41" s="70"/>
      <c r="C41" s="94" t="s">
        <v>12</v>
      </c>
      <c r="D41" s="85" t="str">
        <f t="shared" si="12"/>
        <v>B.MACHADO</v>
      </c>
      <c r="E41" s="95" t="s">
        <v>59</v>
      </c>
      <c r="F41" s="85" t="str">
        <f t="shared" si="13"/>
        <v>GUILHERME</v>
      </c>
      <c r="G41" s="94" t="s">
        <v>26</v>
      </c>
      <c r="H41" s="174" t="str">
        <f t="shared" si="14"/>
        <v>EDUARDO</v>
      </c>
      <c r="I41" s="95" t="s">
        <v>10</v>
      </c>
      <c r="J41" s="174" t="str">
        <f t="shared" si="15"/>
        <v>VITORIA</v>
      </c>
      <c r="K41" s="80"/>
      <c r="L41" s="84" t="e">
        <f t="shared" si="16"/>
        <v>#N/A</v>
      </c>
      <c r="M41" s="80"/>
      <c r="N41" s="69" t="e">
        <f t="shared" si="17"/>
        <v>#N/A</v>
      </c>
      <c r="O41" s="94" t="s">
        <v>0</v>
      </c>
      <c r="P41" s="85" t="str">
        <f t="shared" si="18"/>
        <v>RODRIGO</v>
      </c>
      <c r="Q41" s="95" t="s">
        <v>4</v>
      </c>
      <c r="R41" s="85" t="str">
        <f t="shared" si="19"/>
        <v>BRANCÃO</v>
      </c>
      <c r="S41" s="96" t="s">
        <v>27</v>
      </c>
      <c r="T41" s="85" t="str">
        <f t="shared" si="20"/>
        <v>B.SELAYARAN</v>
      </c>
      <c r="U41" s="97" t="s">
        <v>6</v>
      </c>
      <c r="V41" s="71" t="str">
        <f t="shared" si="21"/>
        <v>FELIPE</v>
      </c>
    </row>
    <row r="42" spans="1:22" ht="15.75" x14ac:dyDescent="0.25">
      <c r="A42" s="86">
        <f t="shared" si="22"/>
        <v>46098</v>
      </c>
      <c r="B42" s="70"/>
      <c r="C42" s="94" t="s">
        <v>12</v>
      </c>
      <c r="D42" s="174" t="str">
        <f t="shared" si="12"/>
        <v>B.MACHADO</v>
      </c>
      <c r="E42" s="95" t="s">
        <v>95</v>
      </c>
      <c r="F42" s="85" t="str">
        <f t="shared" si="13"/>
        <v>RICHER</v>
      </c>
      <c r="G42" s="94" t="s">
        <v>1</v>
      </c>
      <c r="H42" s="174" t="str">
        <f t="shared" si="14"/>
        <v>MARCO</v>
      </c>
      <c r="I42" s="95" t="s">
        <v>10</v>
      </c>
      <c r="J42" s="174" t="str">
        <f t="shared" si="15"/>
        <v>VITORIA</v>
      </c>
      <c r="K42" s="80" t="s">
        <v>63</v>
      </c>
      <c r="L42" s="84" t="str">
        <f t="shared" si="16"/>
        <v>CLEITON</v>
      </c>
      <c r="M42" s="80" t="s">
        <v>62</v>
      </c>
      <c r="N42" s="69" t="str">
        <f t="shared" si="17"/>
        <v>TONINHO</v>
      </c>
      <c r="O42" s="94" t="s">
        <v>0</v>
      </c>
      <c r="P42" s="85" t="str">
        <f t="shared" si="18"/>
        <v>RODRIGO</v>
      </c>
      <c r="Q42" s="95" t="s">
        <v>28</v>
      </c>
      <c r="R42" s="71" t="str">
        <f t="shared" si="19"/>
        <v>THAIS</v>
      </c>
      <c r="S42" s="96" t="s">
        <v>8</v>
      </c>
      <c r="T42" s="85" t="str">
        <f t="shared" si="20"/>
        <v>ALLAN</v>
      </c>
      <c r="U42" s="97" t="s">
        <v>6</v>
      </c>
      <c r="V42" s="71" t="str">
        <f t="shared" si="21"/>
        <v>FELIPE</v>
      </c>
    </row>
    <row r="43" spans="1:22" ht="15.75" x14ac:dyDescent="0.25">
      <c r="A43" s="86">
        <f t="shared" si="22"/>
        <v>46099</v>
      </c>
      <c r="B43" s="68"/>
      <c r="C43" s="94" t="s">
        <v>12</v>
      </c>
      <c r="D43" s="174" t="str">
        <f t="shared" si="12"/>
        <v>B.MACHADO</v>
      </c>
      <c r="E43" s="95" t="s">
        <v>95</v>
      </c>
      <c r="F43" s="85" t="str">
        <f t="shared" si="13"/>
        <v>RICHER</v>
      </c>
      <c r="G43" s="94" t="s">
        <v>1</v>
      </c>
      <c r="H43" s="174" t="str">
        <f t="shared" si="14"/>
        <v>MARCO</v>
      </c>
      <c r="I43" s="95" t="s">
        <v>10</v>
      </c>
      <c r="J43" s="174" t="str">
        <f t="shared" si="15"/>
        <v>VITORIA</v>
      </c>
      <c r="K43" s="81" t="s">
        <v>63</v>
      </c>
      <c r="L43" s="84" t="str">
        <f t="shared" si="16"/>
        <v>CLEITON</v>
      </c>
      <c r="M43" s="81" t="s">
        <v>62</v>
      </c>
      <c r="N43" s="69" t="str">
        <f t="shared" si="17"/>
        <v>TONINHO</v>
      </c>
      <c r="O43" s="94" t="s">
        <v>0</v>
      </c>
      <c r="P43" s="85" t="str">
        <f t="shared" si="18"/>
        <v>RODRIGO</v>
      </c>
      <c r="Q43" s="95" t="s">
        <v>28</v>
      </c>
      <c r="R43" s="71" t="str">
        <f t="shared" si="19"/>
        <v>THAIS</v>
      </c>
      <c r="S43" s="96" t="s">
        <v>8</v>
      </c>
      <c r="T43" s="85" t="str">
        <f t="shared" si="20"/>
        <v>ALLAN</v>
      </c>
      <c r="U43" s="97" t="s">
        <v>6</v>
      </c>
      <c r="V43" s="71" t="str">
        <f t="shared" si="21"/>
        <v>FELIPE</v>
      </c>
    </row>
    <row r="44" spans="1:22" ht="15.75" x14ac:dyDescent="0.25">
      <c r="A44" s="86">
        <f t="shared" si="22"/>
        <v>46100</v>
      </c>
      <c r="B44" s="68"/>
      <c r="C44" s="94" t="s">
        <v>26</v>
      </c>
      <c r="D44" s="174" t="str">
        <f t="shared" si="12"/>
        <v>EDUARDO</v>
      </c>
      <c r="E44" s="95" t="s">
        <v>95</v>
      </c>
      <c r="F44" s="85" t="str">
        <f t="shared" si="13"/>
        <v>RICHER</v>
      </c>
      <c r="G44" s="94" t="s">
        <v>1</v>
      </c>
      <c r="H44" s="174" t="str">
        <f t="shared" si="14"/>
        <v>MARCO</v>
      </c>
      <c r="I44" s="95" t="s">
        <v>4</v>
      </c>
      <c r="J44" s="174" t="str">
        <f t="shared" si="15"/>
        <v>BRANCÃO</v>
      </c>
      <c r="K44" s="80" t="s">
        <v>63</v>
      </c>
      <c r="L44" s="84" t="str">
        <f t="shared" si="16"/>
        <v>CLEITON</v>
      </c>
      <c r="M44" s="80" t="s">
        <v>62</v>
      </c>
      <c r="N44" s="69" t="str">
        <f t="shared" si="17"/>
        <v>TONINHO</v>
      </c>
      <c r="O44" s="94" t="s">
        <v>27</v>
      </c>
      <c r="P44" s="85" t="str">
        <f t="shared" si="18"/>
        <v>B.SELAYARAN</v>
      </c>
      <c r="Q44" s="95" t="s">
        <v>28</v>
      </c>
      <c r="R44" s="71" t="str">
        <f t="shared" si="19"/>
        <v>THAIS</v>
      </c>
      <c r="S44" s="96" t="s">
        <v>8</v>
      </c>
      <c r="T44" s="85" t="str">
        <f t="shared" si="20"/>
        <v>ALLAN</v>
      </c>
      <c r="U44" s="97" t="s">
        <v>59</v>
      </c>
      <c r="V44" s="71" t="str">
        <f t="shared" si="21"/>
        <v>GUILHERME</v>
      </c>
    </row>
    <row r="45" spans="1:22" ht="15.75" x14ac:dyDescent="0.25">
      <c r="A45" s="86">
        <f t="shared" si="22"/>
        <v>46101</v>
      </c>
      <c r="B45" s="68"/>
      <c r="C45" s="94" t="s">
        <v>26</v>
      </c>
      <c r="D45" s="174" t="str">
        <f t="shared" si="12"/>
        <v>EDUARDO</v>
      </c>
      <c r="E45" s="95" t="s">
        <v>95</v>
      </c>
      <c r="F45" s="85" t="str">
        <f t="shared" si="13"/>
        <v>RICHER</v>
      </c>
      <c r="G45" s="94" t="s">
        <v>1</v>
      </c>
      <c r="H45" s="174" t="str">
        <f t="shared" si="14"/>
        <v>MARCO</v>
      </c>
      <c r="I45" s="95" t="s">
        <v>4</v>
      </c>
      <c r="J45" s="174" t="str">
        <f t="shared" si="15"/>
        <v>BRANCÃO</v>
      </c>
      <c r="K45" s="81" t="s">
        <v>63</v>
      </c>
      <c r="L45" s="84" t="str">
        <f t="shared" si="16"/>
        <v>CLEITON</v>
      </c>
      <c r="M45" s="81" t="s">
        <v>62</v>
      </c>
      <c r="N45" s="69" t="str">
        <f t="shared" si="17"/>
        <v>TONINHO</v>
      </c>
      <c r="O45" s="94" t="s">
        <v>27</v>
      </c>
      <c r="P45" s="85" t="str">
        <f t="shared" si="18"/>
        <v>B.SELAYARAN</v>
      </c>
      <c r="Q45" s="95" t="s">
        <v>28</v>
      </c>
      <c r="R45" s="71" t="str">
        <f t="shared" si="19"/>
        <v>THAIS</v>
      </c>
      <c r="S45" s="96" t="s">
        <v>8</v>
      </c>
      <c r="T45" s="85" t="str">
        <f t="shared" si="20"/>
        <v>ALLAN</v>
      </c>
      <c r="U45" s="97" t="s">
        <v>59</v>
      </c>
      <c r="V45" s="71" t="str">
        <f t="shared" si="21"/>
        <v>GUILHERME</v>
      </c>
    </row>
    <row r="46" spans="1:22" ht="15.75" x14ac:dyDescent="0.25">
      <c r="A46" s="86">
        <f t="shared" si="22"/>
        <v>46102</v>
      </c>
      <c r="B46" s="68"/>
      <c r="C46" s="94" t="s">
        <v>26</v>
      </c>
      <c r="D46" s="174" t="str">
        <f t="shared" si="12"/>
        <v>EDUARDO</v>
      </c>
      <c r="E46" s="95" t="s">
        <v>10</v>
      </c>
      <c r="F46" s="85" t="str">
        <f t="shared" si="13"/>
        <v>VITORIA</v>
      </c>
      <c r="G46" s="94" t="s">
        <v>0</v>
      </c>
      <c r="H46" s="174" t="str">
        <f t="shared" si="14"/>
        <v>RODRIGO</v>
      </c>
      <c r="I46" s="95" t="s">
        <v>4</v>
      </c>
      <c r="J46" s="174" t="str">
        <f t="shared" si="15"/>
        <v>BRANCÃO</v>
      </c>
      <c r="K46" s="80" t="s">
        <v>62</v>
      </c>
      <c r="L46" s="84" t="str">
        <f t="shared" si="16"/>
        <v>TONINHO</v>
      </c>
      <c r="M46" s="80" t="s">
        <v>63</v>
      </c>
      <c r="N46" s="69" t="str">
        <f t="shared" si="17"/>
        <v>CLEITON</v>
      </c>
      <c r="O46" s="94" t="s">
        <v>27</v>
      </c>
      <c r="P46" s="85" t="str">
        <f t="shared" si="18"/>
        <v>B.SELAYARAN</v>
      </c>
      <c r="Q46" s="95" t="s">
        <v>6</v>
      </c>
      <c r="R46" s="71" t="str">
        <f t="shared" si="19"/>
        <v>FELIPE</v>
      </c>
      <c r="S46" s="96" t="s">
        <v>12</v>
      </c>
      <c r="T46" s="85" t="str">
        <f t="shared" si="20"/>
        <v>B.MACHADO</v>
      </c>
      <c r="U46" s="97" t="s">
        <v>59</v>
      </c>
      <c r="V46" s="85" t="str">
        <f t="shared" si="21"/>
        <v>GUILHERME</v>
      </c>
    </row>
    <row r="47" spans="1:22" ht="15.75" x14ac:dyDescent="0.25">
      <c r="A47" s="86">
        <f t="shared" si="22"/>
        <v>46103</v>
      </c>
      <c r="B47" s="68"/>
      <c r="C47" s="94" t="s">
        <v>26</v>
      </c>
      <c r="D47" s="174" t="str">
        <f t="shared" si="12"/>
        <v>EDUARDO</v>
      </c>
      <c r="E47" s="95" t="s">
        <v>10</v>
      </c>
      <c r="F47" s="85" t="str">
        <f t="shared" si="13"/>
        <v>VITORIA</v>
      </c>
      <c r="G47" s="94" t="s">
        <v>0</v>
      </c>
      <c r="H47" s="174" t="str">
        <f t="shared" si="14"/>
        <v>RODRIGO</v>
      </c>
      <c r="I47" s="95" t="s">
        <v>4</v>
      </c>
      <c r="J47" s="174" t="str">
        <f t="shared" si="15"/>
        <v>BRANCÃO</v>
      </c>
      <c r="K47" s="80"/>
      <c r="L47" s="84" t="e">
        <f t="shared" si="16"/>
        <v>#N/A</v>
      </c>
      <c r="M47" s="80"/>
      <c r="N47" s="69" t="e">
        <f t="shared" si="17"/>
        <v>#N/A</v>
      </c>
      <c r="O47" s="94" t="s">
        <v>27</v>
      </c>
      <c r="P47" s="85" t="str">
        <f t="shared" si="18"/>
        <v>B.SELAYARAN</v>
      </c>
      <c r="Q47" s="95" t="s">
        <v>6</v>
      </c>
      <c r="R47" s="71" t="str">
        <f t="shared" si="19"/>
        <v>FELIPE</v>
      </c>
      <c r="S47" s="96" t="s">
        <v>12</v>
      </c>
      <c r="T47" s="85" t="str">
        <f t="shared" si="20"/>
        <v>B.MACHADO</v>
      </c>
      <c r="U47" s="97" t="s">
        <v>59</v>
      </c>
      <c r="V47" s="85" t="str">
        <f t="shared" si="21"/>
        <v>GUILHERME</v>
      </c>
    </row>
    <row r="48" spans="1:22" ht="15.75" x14ac:dyDescent="0.25">
      <c r="A48" s="86">
        <f t="shared" si="22"/>
        <v>46104</v>
      </c>
      <c r="B48" s="70"/>
      <c r="C48" s="94" t="s">
        <v>1</v>
      </c>
      <c r="D48" s="174" t="str">
        <f t="shared" si="12"/>
        <v>MARCO</v>
      </c>
      <c r="E48" s="95" t="s">
        <v>10</v>
      </c>
      <c r="F48" s="83" t="str">
        <f t="shared" si="13"/>
        <v>VITORIA</v>
      </c>
      <c r="G48" s="94" t="s">
        <v>0</v>
      </c>
      <c r="H48" s="174" t="str">
        <f t="shared" si="14"/>
        <v>RODRIGO</v>
      </c>
      <c r="I48" s="95" t="s">
        <v>28</v>
      </c>
      <c r="J48" s="174" t="str">
        <f t="shared" si="15"/>
        <v>THAIS</v>
      </c>
      <c r="K48" s="80"/>
      <c r="L48" s="84" t="e">
        <f t="shared" si="16"/>
        <v>#N/A</v>
      </c>
      <c r="M48" s="80"/>
      <c r="N48" s="69" t="e">
        <f t="shared" si="17"/>
        <v>#N/A</v>
      </c>
      <c r="O48" s="94" t="s">
        <v>8</v>
      </c>
      <c r="P48" s="85" t="str">
        <f t="shared" si="18"/>
        <v>ALLAN</v>
      </c>
      <c r="Q48" s="95" t="s">
        <v>6</v>
      </c>
      <c r="R48" s="71" t="str">
        <f t="shared" si="19"/>
        <v>FELIPE</v>
      </c>
      <c r="S48" s="96" t="s">
        <v>12</v>
      </c>
      <c r="T48" s="85" t="str">
        <f t="shared" si="20"/>
        <v>B.MACHADO</v>
      </c>
      <c r="U48" s="97" t="s">
        <v>95</v>
      </c>
      <c r="V48" s="85" t="str">
        <f t="shared" si="21"/>
        <v>RICHER</v>
      </c>
    </row>
    <row r="49" spans="1:22" ht="15.75" x14ac:dyDescent="0.25">
      <c r="A49" s="86">
        <f t="shared" si="22"/>
        <v>46105</v>
      </c>
      <c r="B49" s="70"/>
      <c r="C49" s="94" t="s">
        <v>1</v>
      </c>
      <c r="D49" s="174" t="str">
        <f t="shared" si="12"/>
        <v>MARCO</v>
      </c>
      <c r="E49" s="95" t="s">
        <v>10</v>
      </c>
      <c r="F49" s="85" t="str">
        <f t="shared" si="13"/>
        <v>VITORIA</v>
      </c>
      <c r="G49" s="94" t="s">
        <v>0</v>
      </c>
      <c r="H49" s="174" t="str">
        <f t="shared" si="14"/>
        <v>RODRIGO</v>
      </c>
      <c r="I49" s="95" t="s">
        <v>28</v>
      </c>
      <c r="J49" s="174" t="str">
        <f t="shared" si="15"/>
        <v>THAIS</v>
      </c>
      <c r="K49" s="80" t="s">
        <v>63</v>
      </c>
      <c r="L49" s="84" t="str">
        <f t="shared" si="16"/>
        <v>CLEITON</v>
      </c>
      <c r="M49" s="80" t="s">
        <v>62</v>
      </c>
      <c r="N49" s="69" t="str">
        <f t="shared" si="17"/>
        <v>TONINHO</v>
      </c>
      <c r="O49" s="94" t="s">
        <v>8</v>
      </c>
      <c r="P49" s="85" t="str">
        <f t="shared" si="18"/>
        <v>ALLAN</v>
      </c>
      <c r="Q49" s="95" t="s">
        <v>6</v>
      </c>
      <c r="R49" s="71" t="str">
        <f t="shared" si="19"/>
        <v>FELIPE</v>
      </c>
      <c r="S49" s="96" t="s">
        <v>12</v>
      </c>
      <c r="T49" s="85" t="str">
        <f t="shared" si="20"/>
        <v>B.MACHADO</v>
      </c>
      <c r="U49" s="97" t="s">
        <v>95</v>
      </c>
      <c r="V49" s="71" t="str">
        <f t="shared" si="21"/>
        <v>RICHER</v>
      </c>
    </row>
    <row r="50" spans="1:22" ht="15.75" x14ac:dyDescent="0.25">
      <c r="A50" s="86">
        <f t="shared" si="22"/>
        <v>46106</v>
      </c>
      <c r="B50" s="68"/>
      <c r="C50" s="94" t="s">
        <v>1</v>
      </c>
      <c r="D50" s="174" t="str">
        <f t="shared" si="12"/>
        <v>MARCO</v>
      </c>
      <c r="E50" s="95" t="s">
        <v>4</v>
      </c>
      <c r="F50" s="85" t="str">
        <f t="shared" si="13"/>
        <v>BRANCÃO</v>
      </c>
      <c r="G50" s="94" t="s">
        <v>27</v>
      </c>
      <c r="H50" s="85" t="str">
        <f t="shared" si="14"/>
        <v>B.SELAYARAN</v>
      </c>
      <c r="I50" s="95" t="s">
        <v>28</v>
      </c>
      <c r="J50" s="174" t="str">
        <f t="shared" si="15"/>
        <v>THAIS</v>
      </c>
      <c r="K50" s="81" t="s">
        <v>63</v>
      </c>
      <c r="L50" s="84" t="str">
        <f t="shared" si="16"/>
        <v>CLEITON</v>
      </c>
      <c r="M50" s="81" t="s">
        <v>62</v>
      </c>
      <c r="N50" s="69" t="str">
        <f t="shared" si="17"/>
        <v>TONINHO</v>
      </c>
      <c r="O50" s="94" t="s">
        <v>8</v>
      </c>
      <c r="P50" s="85" t="str">
        <f t="shared" si="18"/>
        <v>ALLAN</v>
      </c>
      <c r="Q50" s="95" t="s">
        <v>59</v>
      </c>
      <c r="R50" s="71" t="str">
        <f t="shared" si="19"/>
        <v>GUILHERME</v>
      </c>
      <c r="S50" s="96" t="s">
        <v>26</v>
      </c>
      <c r="T50" s="85" t="str">
        <f t="shared" si="20"/>
        <v>EDUARDO</v>
      </c>
      <c r="U50" s="97" t="s">
        <v>95</v>
      </c>
      <c r="V50" s="71" t="str">
        <f t="shared" si="21"/>
        <v>RICHER</v>
      </c>
    </row>
    <row r="51" spans="1:22" ht="15.75" x14ac:dyDescent="0.25">
      <c r="A51" s="86">
        <f t="shared" si="22"/>
        <v>46107</v>
      </c>
      <c r="B51" s="68"/>
      <c r="C51" s="94" t="s">
        <v>1</v>
      </c>
      <c r="D51" s="85" t="str">
        <f t="shared" si="12"/>
        <v>MARCO</v>
      </c>
      <c r="E51" s="95" t="s">
        <v>4</v>
      </c>
      <c r="F51" s="71" t="str">
        <f t="shared" si="13"/>
        <v>BRANCÃO</v>
      </c>
      <c r="G51" s="94" t="s">
        <v>27</v>
      </c>
      <c r="H51" s="85" t="str">
        <f t="shared" si="14"/>
        <v>B.SELAYARAN</v>
      </c>
      <c r="I51" s="95" t="s">
        <v>28</v>
      </c>
      <c r="J51" s="174" t="str">
        <f t="shared" si="15"/>
        <v>THAIS</v>
      </c>
      <c r="K51" s="80" t="s">
        <v>63</v>
      </c>
      <c r="L51" s="84" t="str">
        <f t="shared" si="16"/>
        <v>CLEITON</v>
      </c>
      <c r="M51" s="80" t="s">
        <v>62</v>
      </c>
      <c r="N51" s="69" t="str">
        <f t="shared" si="17"/>
        <v>TONINHO</v>
      </c>
      <c r="O51" s="94" t="s">
        <v>8</v>
      </c>
      <c r="P51" s="85" t="str">
        <f t="shared" si="18"/>
        <v>ALLAN</v>
      </c>
      <c r="Q51" s="95" t="s">
        <v>59</v>
      </c>
      <c r="R51" s="71" t="str">
        <f t="shared" si="19"/>
        <v>GUILHERME</v>
      </c>
      <c r="S51" s="96" t="s">
        <v>26</v>
      </c>
      <c r="T51" s="85" t="str">
        <f t="shared" si="20"/>
        <v>EDUARDO</v>
      </c>
      <c r="U51" s="97" t="s">
        <v>95</v>
      </c>
      <c r="V51" s="71" t="str">
        <f t="shared" si="21"/>
        <v>RICHER</v>
      </c>
    </row>
    <row r="52" spans="1:22" ht="15.75" x14ac:dyDescent="0.25">
      <c r="A52" s="86">
        <f t="shared" si="22"/>
        <v>46108</v>
      </c>
      <c r="B52" s="68"/>
      <c r="C52" s="94" t="s">
        <v>0</v>
      </c>
      <c r="D52" s="85" t="str">
        <f t="shared" si="12"/>
        <v>RODRIGO</v>
      </c>
      <c r="E52" s="95" t="s">
        <v>4</v>
      </c>
      <c r="F52" s="71" t="str">
        <f t="shared" si="13"/>
        <v>BRANCÃO</v>
      </c>
      <c r="G52" s="94" t="s">
        <v>27</v>
      </c>
      <c r="H52" s="85" t="str">
        <f t="shared" si="14"/>
        <v>B.SELAYARAN</v>
      </c>
      <c r="I52" s="95" t="s">
        <v>6</v>
      </c>
      <c r="J52" s="85" t="str">
        <f t="shared" si="15"/>
        <v>FELIPE</v>
      </c>
      <c r="K52" s="81" t="s">
        <v>63</v>
      </c>
      <c r="L52" s="84" t="str">
        <f t="shared" si="16"/>
        <v>CLEITON</v>
      </c>
      <c r="M52" s="81" t="s">
        <v>62</v>
      </c>
      <c r="N52" s="69" t="str">
        <f t="shared" si="17"/>
        <v>TONINHO</v>
      </c>
      <c r="O52" s="94" t="s">
        <v>12</v>
      </c>
      <c r="P52" s="85" t="str">
        <f t="shared" si="18"/>
        <v>B.MACHADO</v>
      </c>
      <c r="Q52" s="95" t="s">
        <v>59</v>
      </c>
      <c r="R52" s="71" t="str">
        <f t="shared" si="19"/>
        <v>GUILHERME</v>
      </c>
      <c r="S52" s="96" t="s">
        <v>26</v>
      </c>
      <c r="T52" s="85" t="str">
        <f t="shared" si="20"/>
        <v>EDUARDO</v>
      </c>
      <c r="U52" s="97" t="s">
        <v>10</v>
      </c>
      <c r="V52" s="71" t="str">
        <f t="shared" si="21"/>
        <v>VITORIA</v>
      </c>
    </row>
    <row r="53" spans="1:22" ht="15.75" x14ac:dyDescent="0.25">
      <c r="A53" s="86">
        <f t="shared" si="22"/>
        <v>46109</v>
      </c>
      <c r="B53" s="68"/>
      <c r="C53" s="94" t="s">
        <v>0</v>
      </c>
      <c r="D53" s="85" t="str">
        <f t="shared" si="12"/>
        <v>RODRIGO</v>
      </c>
      <c r="E53" s="95" t="s">
        <v>4</v>
      </c>
      <c r="F53" s="71" t="str">
        <f t="shared" si="13"/>
        <v>BRANCÃO</v>
      </c>
      <c r="G53" s="94" t="s">
        <v>27</v>
      </c>
      <c r="H53" s="85" t="str">
        <f t="shared" si="14"/>
        <v>B.SELAYARAN</v>
      </c>
      <c r="I53" s="95" t="s">
        <v>6</v>
      </c>
      <c r="J53" s="85" t="str">
        <f t="shared" si="15"/>
        <v>FELIPE</v>
      </c>
      <c r="K53" s="80" t="s">
        <v>62</v>
      </c>
      <c r="L53" s="84" t="str">
        <f t="shared" si="16"/>
        <v>TONINHO</v>
      </c>
      <c r="M53" s="80" t="s">
        <v>63</v>
      </c>
      <c r="N53" s="69" t="str">
        <f t="shared" si="17"/>
        <v>CLEITON</v>
      </c>
      <c r="O53" s="94" t="s">
        <v>12</v>
      </c>
      <c r="P53" s="85" t="str">
        <f t="shared" si="18"/>
        <v>B.MACHADO</v>
      </c>
      <c r="Q53" s="95" t="s">
        <v>59</v>
      </c>
      <c r="R53" s="71" t="str">
        <f t="shared" si="19"/>
        <v>GUILHERME</v>
      </c>
      <c r="S53" s="96" t="s">
        <v>26</v>
      </c>
      <c r="T53" s="85" t="str">
        <f t="shared" si="20"/>
        <v>EDUARDO</v>
      </c>
      <c r="U53" s="97" t="s">
        <v>10</v>
      </c>
      <c r="V53" s="71" t="str">
        <f t="shared" si="21"/>
        <v>VITORIA</v>
      </c>
    </row>
    <row r="54" spans="1:22" ht="15.75" x14ac:dyDescent="0.25">
      <c r="A54" s="86">
        <f t="shared" si="22"/>
        <v>46110</v>
      </c>
      <c r="B54" s="68"/>
      <c r="C54" s="94" t="s">
        <v>0</v>
      </c>
      <c r="D54" s="85" t="str">
        <f t="shared" si="12"/>
        <v>RODRIGO</v>
      </c>
      <c r="E54" s="95" t="s">
        <v>28</v>
      </c>
      <c r="F54" s="71" t="str">
        <f t="shared" si="13"/>
        <v>THAIS</v>
      </c>
      <c r="G54" s="94" t="s">
        <v>8</v>
      </c>
      <c r="H54" s="85" t="str">
        <f t="shared" si="14"/>
        <v>ALLAN</v>
      </c>
      <c r="I54" s="95" t="s">
        <v>6</v>
      </c>
      <c r="J54" s="85" t="str">
        <f t="shared" si="15"/>
        <v>FELIPE</v>
      </c>
      <c r="K54" s="80"/>
      <c r="L54" s="84" t="e">
        <f t="shared" si="16"/>
        <v>#N/A</v>
      </c>
      <c r="M54" s="80"/>
      <c r="N54" s="69" t="e">
        <f t="shared" si="17"/>
        <v>#N/A</v>
      </c>
      <c r="O54" s="94" t="s">
        <v>12</v>
      </c>
      <c r="P54" s="85" t="str">
        <f t="shared" si="18"/>
        <v>B.MACHADO</v>
      </c>
      <c r="Q54" s="95" t="s">
        <v>95</v>
      </c>
      <c r="R54" s="85" t="str">
        <f t="shared" si="19"/>
        <v>RICHER</v>
      </c>
      <c r="S54" s="96" t="s">
        <v>1</v>
      </c>
      <c r="T54" s="85" t="str">
        <f t="shared" si="20"/>
        <v>MARCO</v>
      </c>
      <c r="U54" s="97" t="s">
        <v>10</v>
      </c>
      <c r="V54" s="85" t="str">
        <f t="shared" si="21"/>
        <v>VITORIA</v>
      </c>
    </row>
    <row r="55" spans="1:22" ht="15.75" x14ac:dyDescent="0.25">
      <c r="A55" s="86">
        <f t="shared" si="22"/>
        <v>46111</v>
      </c>
      <c r="B55" s="68"/>
      <c r="C55" s="94" t="s">
        <v>0</v>
      </c>
      <c r="D55" s="85" t="str">
        <f t="shared" si="12"/>
        <v>RODRIGO</v>
      </c>
      <c r="E55" s="95" t="s">
        <v>28</v>
      </c>
      <c r="F55" s="71" t="str">
        <f t="shared" si="13"/>
        <v>THAIS</v>
      </c>
      <c r="G55" s="94" t="s">
        <v>8</v>
      </c>
      <c r="H55" s="85" t="str">
        <f t="shared" si="14"/>
        <v>ALLAN</v>
      </c>
      <c r="I55" s="95" t="s">
        <v>6</v>
      </c>
      <c r="J55" s="85" t="str">
        <f t="shared" si="15"/>
        <v>FELIPE</v>
      </c>
      <c r="K55" s="80"/>
      <c r="L55" s="84" t="e">
        <f t="shared" si="16"/>
        <v>#N/A</v>
      </c>
      <c r="M55" s="80"/>
      <c r="N55" s="69" t="e">
        <f t="shared" si="17"/>
        <v>#N/A</v>
      </c>
      <c r="O55" s="94" t="s">
        <v>12</v>
      </c>
      <c r="P55" s="85" t="str">
        <f t="shared" si="18"/>
        <v>B.MACHADO</v>
      </c>
      <c r="Q55" s="95" t="s">
        <v>95</v>
      </c>
      <c r="R55" s="71" t="str">
        <f t="shared" si="19"/>
        <v>RICHER</v>
      </c>
      <c r="S55" s="96" t="s">
        <v>1</v>
      </c>
      <c r="T55" s="85" t="str">
        <f t="shared" si="20"/>
        <v>MARCO</v>
      </c>
      <c r="U55" s="97" t="s">
        <v>10</v>
      </c>
      <c r="V55" s="71" t="str">
        <f t="shared" si="21"/>
        <v>VITORIA</v>
      </c>
    </row>
    <row r="56" spans="1:22" ht="15.75" x14ac:dyDescent="0.25">
      <c r="A56" s="86">
        <f t="shared" si="22"/>
        <v>46112</v>
      </c>
      <c r="C56" s="94" t="s">
        <v>27</v>
      </c>
      <c r="D56" s="85" t="str">
        <f t="shared" si="12"/>
        <v>B.SELAYARAN</v>
      </c>
      <c r="E56" s="95" t="s">
        <v>28</v>
      </c>
      <c r="F56" s="71" t="str">
        <f t="shared" si="13"/>
        <v>THAIS</v>
      </c>
      <c r="G56" s="94" t="s">
        <v>8</v>
      </c>
      <c r="H56" s="85" t="str">
        <f t="shared" si="14"/>
        <v>ALLAN</v>
      </c>
      <c r="I56" s="95" t="s">
        <v>59</v>
      </c>
      <c r="J56" s="85" t="str">
        <f t="shared" si="15"/>
        <v>GUILHERME</v>
      </c>
      <c r="K56" s="80" t="s">
        <v>63</v>
      </c>
      <c r="L56" s="84" t="str">
        <f t="shared" si="16"/>
        <v>CLEITON</v>
      </c>
      <c r="M56" s="80" t="s">
        <v>62</v>
      </c>
      <c r="N56" s="69" t="str">
        <f t="shared" si="17"/>
        <v>TONINHO</v>
      </c>
      <c r="O56" s="96" t="s">
        <v>26</v>
      </c>
      <c r="P56" s="85" t="str">
        <f t="shared" si="18"/>
        <v>EDUARDO</v>
      </c>
      <c r="Q56" s="97" t="s">
        <v>95</v>
      </c>
      <c r="R56" s="85" t="str">
        <f t="shared" si="19"/>
        <v>RICHER</v>
      </c>
      <c r="S56" s="96" t="s">
        <v>3</v>
      </c>
      <c r="T56" s="85" t="str">
        <f t="shared" si="20"/>
        <v>B.HORNES</v>
      </c>
      <c r="U56" s="95" t="s">
        <v>4</v>
      </c>
      <c r="V56" s="71" t="str">
        <f t="shared" si="21"/>
        <v>BRANCÃO</v>
      </c>
    </row>
    <row r="57" spans="1:22" x14ac:dyDescent="0.25"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K58"/>
      <c r="L58"/>
      <c r="M58"/>
      <c r="N58"/>
      <c r="O58"/>
      <c r="Q58"/>
    </row>
    <row r="59" spans="1:22" x14ac:dyDescent="0.25">
      <c r="K59"/>
      <c r="L59"/>
      <c r="M59"/>
      <c r="N59"/>
      <c r="O59"/>
    </row>
    <row r="60" spans="1:22" x14ac:dyDescent="0.25">
      <c r="K60"/>
      <c r="L60"/>
      <c r="M60"/>
      <c r="N60"/>
      <c r="O60"/>
    </row>
    <row r="61" spans="1:22" x14ac:dyDescent="0.25">
      <c r="K61"/>
      <c r="O61"/>
    </row>
    <row r="62" spans="1:22" x14ac:dyDescent="0.25">
      <c r="O62"/>
    </row>
    <row r="63" spans="1:22" x14ac:dyDescent="0.25">
      <c r="O63"/>
    </row>
    <row r="64" spans="1:22" x14ac:dyDescent="0.25">
      <c r="O64"/>
    </row>
    <row r="65" spans="15:15" x14ac:dyDescent="0.25">
      <c r="O65"/>
    </row>
    <row r="66" spans="15:15" x14ac:dyDescent="0.25">
      <c r="O66"/>
    </row>
    <row r="67" spans="15:15" x14ac:dyDescent="0.25">
      <c r="O6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1" r:id="rId4" name="Button 1">
              <controlPr defaultSize="0" print="0" autoFill="0" autoPict="0" macro="[0]!Módulo6.APAGAESCALA">
                <anchor moveWithCells="1" sizeWithCells="1">
                  <from>
                    <xdr:col>14</xdr:col>
                    <xdr:colOff>76200</xdr:colOff>
                    <xdr:row>13</xdr:row>
                    <xdr:rowOff>152400</xdr:rowOff>
                  </from>
                  <to>
                    <xdr:col>15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24D2-B994-45EF-A419-8927E8D10F0D}">
  <sheetPr codeName="Planilha132">
    <pageSetUpPr fitToPage="1"/>
  </sheetPr>
  <dimension ref="E2:AE57"/>
  <sheetViews>
    <sheetView showGridLines="0" topLeftCell="I28" zoomScale="85" zoomScaleNormal="85" workbookViewId="0">
      <selection activeCell="O45" sqref="O45"/>
    </sheetView>
  </sheetViews>
  <sheetFormatPr defaultRowHeight="15" x14ac:dyDescent="0.25"/>
  <cols>
    <col min="7" max="7" width="10.7109375" bestFit="1" customWidth="1"/>
    <col min="10" max="10" width="11.42578125" customWidth="1"/>
    <col min="11" max="11" width="2" hidden="1" customWidth="1"/>
    <col min="12" max="12" width="11.140625" customWidth="1"/>
    <col min="13" max="16" width="17.42578125" customWidth="1"/>
    <col min="17" max="18" width="13.28515625" style="7" customWidth="1"/>
    <col min="19" max="22" width="17.42578125" style="7" customWidth="1"/>
    <col min="23" max="23" width="2.42578125" customWidth="1"/>
    <col min="24" max="24" width="4.85546875" customWidth="1"/>
    <col min="25" max="25" width="13.85546875" customWidth="1"/>
    <col min="26" max="30" width="6.140625" customWidth="1"/>
    <col min="31" max="31" width="6.5703125" customWidth="1"/>
    <col min="32" max="32" width="9.140625" customWidth="1"/>
  </cols>
  <sheetData>
    <row r="2" spans="5:31" ht="15.75" thickBot="1" x14ac:dyDescent="0.3">
      <c r="E2" s="154"/>
    </row>
    <row r="3" spans="5:31" ht="26.25" customHeight="1" thickBot="1" x14ac:dyDescent="0.3">
      <c r="J3" s="8"/>
      <c r="K3" s="9"/>
      <c r="L3" s="9"/>
      <c r="M3" s="194" t="s">
        <v>32</v>
      </c>
      <c r="N3" s="194"/>
      <c r="O3" s="194"/>
      <c r="P3" s="194"/>
      <c r="Q3" s="194"/>
      <c r="R3" s="194"/>
      <c r="S3" s="194"/>
      <c r="T3" s="194"/>
      <c r="U3" s="194"/>
      <c r="V3" s="195"/>
      <c r="X3" s="198" t="s">
        <v>125</v>
      </c>
      <c r="Y3" s="199"/>
    </row>
    <row r="4" spans="5:31" ht="15" customHeight="1" thickBot="1" x14ac:dyDescent="0.3">
      <c r="J4" s="10"/>
      <c r="M4" s="196"/>
      <c r="N4" s="196"/>
      <c r="O4" s="196"/>
      <c r="P4" s="196"/>
      <c r="Q4" s="196"/>
      <c r="R4" s="196"/>
      <c r="S4" s="196"/>
      <c r="T4" s="196"/>
      <c r="U4" s="196"/>
      <c r="V4" s="197"/>
      <c r="X4" s="200" t="s">
        <v>126</v>
      </c>
      <c r="Y4" s="201"/>
    </row>
    <row r="5" spans="5:31" ht="15" customHeight="1" thickBot="1" x14ac:dyDescent="0.3">
      <c r="J5" s="10"/>
      <c r="M5" s="202" t="s">
        <v>34</v>
      </c>
      <c r="N5" s="202"/>
      <c r="O5" s="202"/>
      <c r="P5" s="202"/>
      <c r="Q5" s="202"/>
      <c r="R5" s="202"/>
      <c r="S5" s="202"/>
      <c r="T5" s="202"/>
      <c r="U5" s="202"/>
      <c r="V5" s="203"/>
      <c r="X5" s="204" t="s">
        <v>14</v>
      </c>
      <c r="Y5" s="205"/>
    </row>
    <row r="6" spans="5:31" ht="15" customHeight="1" thickBot="1" x14ac:dyDescent="0.3">
      <c r="J6" s="10"/>
      <c r="M6" s="202"/>
      <c r="N6" s="202"/>
      <c r="O6" s="202"/>
      <c r="P6" s="202"/>
      <c r="Q6" s="202"/>
      <c r="R6" s="202"/>
      <c r="S6" s="202"/>
      <c r="T6" s="202"/>
      <c r="U6" s="202"/>
      <c r="V6" s="203"/>
      <c r="X6" s="206" t="s">
        <v>127</v>
      </c>
      <c r="Y6" s="207"/>
    </row>
    <row r="7" spans="5:31" ht="15" customHeight="1" thickBot="1" x14ac:dyDescent="0.3">
      <c r="J7" s="10"/>
      <c r="S7" s="170"/>
      <c r="T7" s="170"/>
      <c r="U7" s="170"/>
      <c r="V7" s="11"/>
      <c r="X7" s="208" t="s">
        <v>128</v>
      </c>
      <c r="Y7" s="209"/>
      <c r="AE7" s="98" t="s">
        <v>97</v>
      </c>
    </row>
    <row r="8" spans="5:31" ht="33.75" x14ac:dyDescent="0.25">
      <c r="J8" s="12"/>
      <c r="K8" s="13"/>
      <c r="L8" s="13"/>
      <c r="M8" s="210" t="s">
        <v>150</v>
      </c>
      <c r="N8" s="210"/>
      <c r="O8" s="210"/>
      <c r="P8" s="210"/>
      <c r="Q8" s="210"/>
      <c r="R8" s="210"/>
      <c r="S8" s="210"/>
      <c r="T8" s="210"/>
      <c r="U8" s="210"/>
      <c r="V8" s="211"/>
      <c r="AE8" s="99">
        <v>31</v>
      </c>
    </row>
    <row r="9" spans="5:31" ht="15" customHeight="1" thickBot="1" x14ac:dyDescent="0.3">
      <c r="J9" s="14"/>
      <c r="K9" s="15"/>
      <c r="L9" s="15"/>
      <c r="M9" s="15"/>
      <c r="N9" s="15"/>
      <c r="O9" s="15"/>
      <c r="P9" s="15"/>
      <c r="Q9" s="89"/>
      <c r="R9" s="89"/>
      <c r="S9" s="15"/>
      <c r="T9" s="15"/>
      <c r="U9" s="15"/>
      <c r="V9" s="16"/>
    </row>
    <row r="10" spans="5:31" ht="22.5" customHeight="1" thickBot="1" x14ac:dyDescent="0.3">
      <c r="J10" s="212" t="s">
        <v>33</v>
      </c>
      <c r="K10" s="213"/>
      <c r="L10" s="214"/>
      <c r="M10" s="171" t="s">
        <v>35</v>
      </c>
      <c r="N10" s="171" t="s">
        <v>35</v>
      </c>
      <c r="O10" s="171" t="s">
        <v>36</v>
      </c>
      <c r="P10" s="171" t="s">
        <v>36</v>
      </c>
      <c r="Q10" s="171" t="s">
        <v>61</v>
      </c>
      <c r="R10" s="171" t="s">
        <v>61</v>
      </c>
      <c r="S10" s="20" t="s">
        <v>37</v>
      </c>
      <c r="T10" s="21" t="s">
        <v>37</v>
      </c>
      <c r="U10" s="21" t="s">
        <v>38</v>
      </c>
      <c r="V10" s="11" t="s">
        <v>38</v>
      </c>
      <c r="X10" s="215" t="s">
        <v>43</v>
      </c>
      <c r="Y10" s="216"/>
      <c r="Z10" s="19" t="s">
        <v>15</v>
      </c>
      <c r="AA10" s="19" t="s">
        <v>16</v>
      </c>
      <c r="AB10" s="19" t="s">
        <v>17</v>
      </c>
      <c r="AC10" s="19" t="s">
        <v>18</v>
      </c>
      <c r="AD10" s="19" t="s">
        <v>42</v>
      </c>
      <c r="AE10" s="19" t="s">
        <v>14</v>
      </c>
    </row>
    <row r="11" spans="5:31" ht="22.5" customHeight="1" x14ac:dyDescent="0.25">
      <c r="J11" s="153">
        <v>46113</v>
      </c>
      <c r="K11" s="22">
        <f t="shared" ref="K11:K41" si="0">WEEKDAY(J11,2)</f>
        <v>3</v>
      </c>
      <c r="L11" s="22" t="s">
        <v>146</v>
      </c>
      <c r="M11" s="22" t="str">
        <f>IFERROR(VLOOKUP(J11,#REF!,4),"-")</f>
        <v>-</v>
      </c>
      <c r="N11" s="22" t="str">
        <f>IFERROR(VLOOKUP(J11,#REF!,6),"-")</f>
        <v>-</v>
      </c>
      <c r="O11" s="22" t="str">
        <f>IFERROR(VLOOKUP(J11,#REF!,8),"-")</f>
        <v>-</v>
      </c>
      <c r="P11" s="22" t="str">
        <f>IFERROR(VLOOKUP(J11,#REF!,10),"-")</f>
        <v>-</v>
      </c>
      <c r="Q11" s="22" t="str">
        <f>IFERROR(VLOOKUP(J11,#REF!,12),"-")</f>
        <v>-</v>
      </c>
      <c r="R11" s="22" t="str">
        <f>IFERROR(VLOOKUP(J11,#REF!,14),"-")</f>
        <v>-</v>
      </c>
      <c r="S11" s="22" t="str">
        <f>IFERROR(VLOOKUP(J11,#REF!,16),"-")</f>
        <v>-</v>
      </c>
      <c r="T11" s="22" t="str">
        <f>IFERROR(VLOOKUP(J11,#REF!,18),"-")</f>
        <v>-</v>
      </c>
      <c r="U11" s="22" t="str">
        <f>IFERROR(VLOOKUP(J11,#REF!,20),"-")</f>
        <v>-</v>
      </c>
      <c r="V11" s="23" t="str">
        <f>IFERROR(VLOOKUP(J11,#REF!,22),"-")</f>
        <v>-</v>
      </c>
      <c r="X11" s="49" t="s">
        <v>26</v>
      </c>
      <c r="Y11" s="25" t="e">
        <f>#REF!</f>
        <v>#REF!</v>
      </c>
      <c r="Z11" s="19">
        <f t="shared" ref="Z11:Z24" si="1">COUNTIF($M$11:$N$42,Y11)</f>
        <v>0</v>
      </c>
      <c r="AA11" s="19">
        <f t="shared" ref="AA11:AA24" si="2">COUNTIF($O$11:$P$42,Y11)</f>
        <v>0</v>
      </c>
      <c r="AB11" s="19">
        <f t="shared" ref="AB11:AB24" si="3">COUNTIF($S$11:$T$42,Y11)</f>
        <v>0</v>
      </c>
      <c r="AC11" s="19">
        <f t="shared" ref="AC11:AC24" si="4">COUNTIF($U$11:$V$42,Y11)</f>
        <v>0</v>
      </c>
      <c r="AD11" s="19">
        <f>SUM(Z11:AC11)</f>
        <v>0</v>
      </c>
      <c r="AE11" s="19">
        <f>$AE$8-AD11</f>
        <v>31</v>
      </c>
    </row>
    <row r="12" spans="5:31" ht="22.5" customHeight="1" thickBot="1" x14ac:dyDescent="0.3">
      <c r="J12" s="26">
        <v>46114</v>
      </c>
      <c r="K12" s="18">
        <f t="shared" si="0"/>
        <v>4</v>
      </c>
      <c r="L12" s="18" t="s">
        <v>143</v>
      </c>
      <c r="M12" s="18" t="str">
        <f>IFERROR(VLOOKUP(J12,#REF!,4),"-")</f>
        <v>-</v>
      </c>
      <c r="N12" s="18" t="str">
        <f>IFERROR(VLOOKUP(J12,#REF!,6),"-")</f>
        <v>-</v>
      </c>
      <c r="O12" s="18" t="str">
        <f>IFERROR(VLOOKUP(J12,#REF!,8),"-")</f>
        <v>-</v>
      </c>
      <c r="P12" s="18" t="str">
        <f>IFERROR(VLOOKUP(J12,#REF!,10),"-")</f>
        <v>-</v>
      </c>
      <c r="Q12" s="18" t="str">
        <f>IFERROR(VLOOKUP(J12,#REF!,12),"-")</f>
        <v>-</v>
      </c>
      <c r="R12" s="18" t="str">
        <f>IFERROR(VLOOKUP(J12,#REF!,14),"-")</f>
        <v>-</v>
      </c>
      <c r="S12" s="18" t="str">
        <f>IFERROR(VLOOKUP(J12,#REF!,16),"-")</f>
        <v>-</v>
      </c>
      <c r="T12" s="18" t="str">
        <f>IFERROR(VLOOKUP(J12,#REF!,18),"-")</f>
        <v>-</v>
      </c>
      <c r="U12" s="18" t="str">
        <f>IFERROR(VLOOKUP(J12,#REF!,20),"-")</f>
        <v>-</v>
      </c>
      <c r="V12" s="24" t="str">
        <f>IFERROR(VLOOKUP(J12,#REF!,22),"-")</f>
        <v>-</v>
      </c>
      <c r="X12" s="49" t="s">
        <v>1</v>
      </c>
      <c r="Y12" s="25" t="e">
        <f>#REF!</f>
        <v>#REF!</v>
      </c>
      <c r="Z12" s="19">
        <f t="shared" si="1"/>
        <v>0</v>
      </c>
      <c r="AA12" s="19">
        <f t="shared" si="2"/>
        <v>0</v>
      </c>
      <c r="AB12" s="19">
        <f t="shared" si="3"/>
        <v>0</v>
      </c>
      <c r="AC12" s="19">
        <f t="shared" si="4"/>
        <v>0</v>
      </c>
      <c r="AD12" s="19">
        <f t="shared" ref="AD12:AD26" si="5">SUM(Z12:AC12)</f>
        <v>0</v>
      </c>
      <c r="AE12" s="19">
        <f t="shared" ref="AE12:AE26" si="6">$AE$8-AD12</f>
        <v>31</v>
      </c>
    </row>
    <row r="13" spans="5:31" ht="22.5" customHeight="1" thickBot="1" x14ac:dyDescent="0.3">
      <c r="J13" s="153">
        <v>46115</v>
      </c>
      <c r="K13" s="18">
        <f t="shared" si="0"/>
        <v>5</v>
      </c>
      <c r="L13" s="18" t="s">
        <v>144</v>
      </c>
      <c r="M13" s="18" t="str">
        <f>IFERROR(VLOOKUP(J13,#REF!,4),"-")</f>
        <v>-</v>
      </c>
      <c r="N13" s="18" t="str">
        <f>IFERROR(VLOOKUP(J13,#REF!,6),"-")</f>
        <v>-</v>
      </c>
      <c r="O13" s="18" t="str">
        <f>IFERROR(VLOOKUP(J13,#REF!,8),"-")</f>
        <v>-</v>
      </c>
      <c r="P13" s="18" t="str">
        <f>IFERROR(VLOOKUP(J13,#REF!,10),"-")</f>
        <v>-</v>
      </c>
      <c r="Q13" s="18" t="str">
        <f>IFERROR(VLOOKUP(J13,#REF!,12),"-")</f>
        <v>-</v>
      </c>
      <c r="R13" s="18" t="str">
        <f>IFERROR(VLOOKUP(J13,#REF!,14),"-")</f>
        <v>-</v>
      </c>
      <c r="S13" s="18" t="str">
        <f>IFERROR(VLOOKUP(J13,#REF!,16),"-")</f>
        <v>-</v>
      </c>
      <c r="T13" s="18" t="str">
        <f>IFERROR(VLOOKUP(J13,#REF!,18),"-")</f>
        <v>-</v>
      </c>
      <c r="U13" s="18" t="str">
        <f>IFERROR(VLOOKUP(J13,#REF!,20),"-")</f>
        <v>-</v>
      </c>
      <c r="V13" s="24" t="str">
        <f>IFERROR(VLOOKUP(J13,#REF!,22),"-")</f>
        <v>-</v>
      </c>
      <c r="X13" s="49" t="s">
        <v>0</v>
      </c>
      <c r="Y13" s="25" t="e">
        <f>#REF!</f>
        <v>#REF!</v>
      </c>
      <c r="Z13" s="19">
        <f t="shared" si="1"/>
        <v>0</v>
      </c>
      <c r="AA13" s="19">
        <f t="shared" si="2"/>
        <v>0</v>
      </c>
      <c r="AB13" s="19">
        <f t="shared" si="3"/>
        <v>0</v>
      </c>
      <c r="AC13" s="19">
        <f t="shared" si="4"/>
        <v>0</v>
      </c>
      <c r="AD13" s="19">
        <f t="shared" si="5"/>
        <v>0</v>
      </c>
      <c r="AE13" s="19">
        <f t="shared" si="6"/>
        <v>31</v>
      </c>
    </row>
    <row r="14" spans="5:31" ht="22.5" customHeight="1" x14ac:dyDescent="0.25">
      <c r="J14" s="153">
        <v>46116</v>
      </c>
      <c r="K14" s="18">
        <f t="shared" si="0"/>
        <v>6</v>
      </c>
      <c r="L14" s="18" t="s">
        <v>145</v>
      </c>
      <c r="M14" s="18" t="str">
        <f>IFERROR(VLOOKUP(J14,#REF!,4),"-")</f>
        <v>-</v>
      </c>
      <c r="N14" s="18" t="str">
        <f>IFERROR(VLOOKUP(J14,#REF!,6),"-")</f>
        <v>-</v>
      </c>
      <c r="O14" s="18" t="str">
        <f>IFERROR(VLOOKUP(J14,#REF!,8),"-")</f>
        <v>-</v>
      </c>
      <c r="P14" s="18" t="str">
        <f>IFERROR(VLOOKUP(J14,#REF!,10),"-")</f>
        <v>-</v>
      </c>
      <c r="Q14" s="18" t="str">
        <f>IFERROR(VLOOKUP(J14,#REF!,12),"-")</f>
        <v>-</v>
      </c>
      <c r="R14" s="18" t="str">
        <f>IFERROR(VLOOKUP(J14,#REF!,14),"-")</f>
        <v>-</v>
      </c>
      <c r="S14" s="18" t="str">
        <f>IFERROR(VLOOKUP(J14,#REF!,16),"-")</f>
        <v>-</v>
      </c>
      <c r="T14" s="18" t="str">
        <f>IFERROR(VLOOKUP(J14,#REF!,18),"-")</f>
        <v>-</v>
      </c>
      <c r="U14" s="18" t="str">
        <f>IFERROR(VLOOKUP(J14,#REF!,20),"-")</f>
        <v>-</v>
      </c>
      <c r="V14" s="24" t="str">
        <f>IFERROR(VLOOKUP(J14,#REF!,22),"-")</f>
        <v>-</v>
      </c>
      <c r="X14" s="49" t="s">
        <v>27</v>
      </c>
      <c r="Y14" s="25" t="e">
        <f>#REF!</f>
        <v>#REF!</v>
      </c>
      <c r="Z14" s="19">
        <f t="shared" si="1"/>
        <v>0</v>
      </c>
      <c r="AA14" s="19">
        <f t="shared" si="2"/>
        <v>0</v>
      </c>
      <c r="AB14" s="19">
        <f t="shared" si="3"/>
        <v>0</v>
      </c>
      <c r="AC14" s="19">
        <f t="shared" si="4"/>
        <v>0</v>
      </c>
      <c r="AD14" s="19">
        <f t="shared" si="5"/>
        <v>0</v>
      </c>
      <c r="AE14" s="19">
        <f t="shared" si="6"/>
        <v>31</v>
      </c>
    </row>
    <row r="15" spans="5:31" ht="22.5" customHeight="1" thickBot="1" x14ac:dyDescent="0.3">
      <c r="J15" s="26">
        <v>46117</v>
      </c>
      <c r="K15" s="18">
        <f t="shared" si="0"/>
        <v>7</v>
      </c>
      <c r="L15" s="18" t="s">
        <v>147</v>
      </c>
      <c r="M15" s="18" t="str">
        <f>IFERROR(VLOOKUP(J15,#REF!,4),"-")</f>
        <v>-</v>
      </c>
      <c r="N15" s="18" t="str">
        <f>IFERROR(VLOOKUP(J15,#REF!,6),"-")</f>
        <v>-</v>
      </c>
      <c r="O15" s="18" t="str">
        <f>IFERROR(VLOOKUP(J15,#REF!,8),"-")</f>
        <v>-</v>
      </c>
      <c r="P15" s="18" t="str">
        <f>IFERROR(VLOOKUP(J15,#REF!,10),"-")</f>
        <v>-</v>
      </c>
      <c r="Q15" s="18" t="str">
        <f>IFERROR(VLOOKUP(J15,#REF!,12),"-")</f>
        <v>-</v>
      </c>
      <c r="R15" s="18" t="str">
        <f>IFERROR(VLOOKUP(J15,#REF!,14),"-")</f>
        <v>-</v>
      </c>
      <c r="S15" s="18" t="str">
        <f>IFERROR(VLOOKUP(J15,#REF!,16),"-")</f>
        <v>-</v>
      </c>
      <c r="T15" s="18" t="str">
        <f>IFERROR(VLOOKUP(J15,#REF!,18),"-")</f>
        <v>-</v>
      </c>
      <c r="U15" s="18" t="str">
        <f>IFERROR(VLOOKUP(J15,#REF!,20),"-")</f>
        <v>-</v>
      </c>
      <c r="V15" s="24" t="str">
        <f>IFERROR(VLOOKUP(J15,#REF!,22),"-")</f>
        <v>-</v>
      </c>
      <c r="X15" s="49" t="s">
        <v>8</v>
      </c>
      <c r="Y15" s="25" t="e">
        <f>#REF!</f>
        <v>#REF!</v>
      </c>
      <c r="Z15" s="19">
        <f t="shared" si="1"/>
        <v>0</v>
      </c>
      <c r="AA15" s="19">
        <f t="shared" si="2"/>
        <v>0</v>
      </c>
      <c r="AB15" s="19">
        <f t="shared" si="3"/>
        <v>0</v>
      </c>
      <c r="AC15" s="19">
        <f t="shared" si="4"/>
        <v>0</v>
      </c>
      <c r="AD15" s="19">
        <f t="shared" si="5"/>
        <v>0</v>
      </c>
      <c r="AE15" s="19">
        <f t="shared" si="6"/>
        <v>31</v>
      </c>
    </row>
    <row r="16" spans="5:31" ht="22.5" customHeight="1" thickBot="1" x14ac:dyDescent="0.3">
      <c r="J16" s="153">
        <v>46118</v>
      </c>
      <c r="K16" s="18">
        <f t="shared" si="0"/>
        <v>1</v>
      </c>
      <c r="L16" s="18" t="s">
        <v>148</v>
      </c>
      <c r="M16" s="18" t="str">
        <f>IFERROR(VLOOKUP(J16,#REF!,4),"-")</f>
        <v>-</v>
      </c>
      <c r="N16" s="18" t="str">
        <f>IFERROR(VLOOKUP(J16,#REF!,6),"-")</f>
        <v>-</v>
      </c>
      <c r="O16" s="18" t="str">
        <f>IFERROR(VLOOKUP(J16,#REF!,8),"-")</f>
        <v>-</v>
      </c>
      <c r="P16" s="18" t="str">
        <f>IFERROR(VLOOKUP(J16,#REF!,10),"-")</f>
        <v>-</v>
      </c>
      <c r="Q16" s="18" t="str">
        <f>IFERROR(VLOOKUP(J16,#REF!,12),"-")</f>
        <v>-</v>
      </c>
      <c r="R16" s="18" t="str">
        <f>IFERROR(VLOOKUP(J16,#REF!,14),"-")</f>
        <v>-</v>
      </c>
      <c r="S16" s="18" t="str">
        <f>IFERROR(VLOOKUP(J16,#REF!,16),"-")</f>
        <v>-</v>
      </c>
      <c r="T16" s="18" t="str">
        <f>IFERROR(VLOOKUP(J16,#REF!,18),"-")</f>
        <v>-</v>
      </c>
      <c r="U16" s="18" t="str">
        <f>IFERROR(VLOOKUP(J16,#REF!,20),"-")</f>
        <v>-</v>
      </c>
      <c r="V16" s="24" t="str">
        <f>IFERROR(VLOOKUP(J16,#REF!,22),"-")</f>
        <v>-</v>
      </c>
      <c r="X16" s="49" t="s">
        <v>12</v>
      </c>
      <c r="Y16" s="25" t="e">
        <f>#REF!</f>
        <v>#REF!</v>
      </c>
      <c r="Z16" s="19">
        <f t="shared" si="1"/>
        <v>0</v>
      </c>
      <c r="AA16" s="19">
        <f t="shared" si="2"/>
        <v>0</v>
      </c>
      <c r="AB16" s="19">
        <f t="shared" si="3"/>
        <v>0</v>
      </c>
      <c r="AC16" s="19">
        <f t="shared" si="4"/>
        <v>0</v>
      </c>
      <c r="AD16" s="19">
        <f t="shared" si="5"/>
        <v>0</v>
      </c>
      <c r="AE16" s="19">
        <f t="shared" si="6"/>
        <v>31</v>
      </c>
    </row>
    <row r="17" spans="10:31" ht="22.5" customHeight="1" thickBot="1" x14ac:dyDescent="0.3">
      <c r="J17" s="153">
        <v>46119</v>
      </c>
      <c r="K17" s="18">
        <f t="shared" si="0"/>
        <v>2</v>
      </c>
      <c r="L17" s="18" t="s">
        <v>149</v>
      </c>
      <c r="M17" s="18" t="str">
        <f>IFERROR(VLOOKUP(J17,#REF!,4),"-")</f>
        <v>-</v>
      </c>
      <c r="N17" s="18" t="str">
        <f>IFERROR(VLOOKUP(J17,#REF!,6),"-")</f>
        <v>-</v>
      </c>
      <c r="O17" s="18" t="str">
        <f>IFERROR(VLOOKUP(J17,#REF!,8),"-")</f>
        <v>-</v>
      </c>
      <c r="P17" s="18" t="str">
        <f>IFERROR(VLOOKUP(J17,#REF!,10),"-")</f>
        <v>-</v>
      </c>
      <c r="Q17" s="18" t="str">
        <f>IFERROR(VLOOKUP(J17,#REF!,12),"-")</f>
        <v>-</v>
      </c>
      <c r="R17" s="18" t="str">
        <f>IFERROR(VLOOKUP(J17,#REF!,14),"-")</f>
        <v>-</v>
      </c>
      <c r="S17" s="18" t="str">
        <f>IFERROR(VLOOKUP(J17,#REF!,16),"-")</f>
        <v>-</v>
      </c>
      <c r="T17" s="18" t="str">
        <f>IFERROR(VLOOKUP(J17,#REF!,18),"-")</f>
        <v>-</v>
      </c>
      <c r="U17" s="18" t="str">
        <f>IFERROR(VLOOKUP(J17,#REF!,20),"-")</f>
        <v>-</v>
      </c>
      <c r="V17" s="24" t="str">
        <f>IFERROR(VLOOKUP(J17,#REF!,22),"-")</f>
        <v>-</v>
      </c>
      <c r="X17" s="49" t="s">
        <v>3</v>
      </c>
      <c r="Y17" s="25" t="e">
        <f>#REF!</f>
        <v>#REF!</v>
      </c>
      <c r="Z17" s="19">
        <f t="shared" si="1"/>
        <v>0</v>
      </c>
      <c r="AA17" s="19">
        <f t="shared" si="2"/>
        <v>0</v>
      </c>
      <c r="AB17" s="19">
        <f t="shared" si="3"/>
        <v>0</v>
      </c>
      <c r="AC17" s="19">
        <f t="shared" si="4"/>
        <v>0</v>
      </c>
      <c r="AD17" s="19">
        <f t="shared" si="5"/>
        <v>0</v>
      </c>
      <c r="AE17" s="19">
        <f t="shared" si="6"/>
        <v>31</v>
      </c>
    </row>
    <row r="18" spans="10:31" ht="22.5" customHeight="1" thickBot="1" x14ac:dyDescent="0.3">
      <c r="J18" s="26">
        <v>46120</v>
      </c>
      <c r="K18" s="18">
        <f t="shared" si="0"/>
        <v>3</v>
      </c>
      <c r="L18" s="22" t="s">
        <v>146</v>
      </c>
      <c r="M18" s="18" t="str">
        <f>IFERROR(VLOOKUP(J18,#REF!,4),"-")</f>
        <v>-</v>
      </c>
      <c r="N18" s="18" t="str">
        <f>IFERROR(VLOOKUP(J18,#REF!,6),"-")</f>
        <v>-</v>
      </c>
      <c r="O18" s="18" t="str">
        <f>IFERROR(VLOOKUP(J18,#REF!,8),"-")</f>
        <v>-</v>
      </c>
      <c r="P18" s="18" t="str">
        <f>IFERROR(VLOOKUP(J18,#REF!,10),"-")</f>
        <v>-</v>
      </c>
      <c r="Q18" s="18" t="str">
        <f>IFERROR(VLOOKUP(J18,#REF!,12),"-")</f>
        <v>-</v>
      </c>
      <c r="R18" s="18" t="str">
        <f>IFERROR(VLOOKUP(J18,#REF!,14),"-")</f>
        <v>-</v>
      </c>
      <c r="S18" s="18" t="str">
        <f>IFERROR(VLOOKUP(J18,#REF!,16),"-")</f>
        <v>-</v>
      </c>
      <c r="T18" s="18" t="str">
        <f>IFERROR(VLOOKUP(J18,#REF!,18),"-")</f>
        <v>-</v>
      </c>
      <c r="U18" s="18" t="str">
        <f>IFERROR(VLOOKUP(J18,#REF!,20),"-")</f>
        <v>-</v>
      </c>
      <c r="V18" s="24" t="str">
        <f>IFERROR(VLOOKUP(J18,#REF!,22),"-")</f>
        <v>-</v>
      </c>
      <c r="X18" s="50" t="s">
        <v>10</v>
      </c>
      <c r="Y18" s="25" t="e">
        <f>#REF!</f>
        <v>#REF!</v>
      </c>
      <c r="Z18" s="19">
        <f t="shared" si="1"/>
        <v>0</v>
      </c>
      <c r="AA18" s="19">
        <f t="shared" si="2"/>
        <v>0</v>
      </c>
      <c r="AB18" s="19">
        <f t="shared" si="3"/>
        <v>0</v>
      </c>
      <c r="AC18" s="19">
        <f t="shared" si="4"/>
        <v>0</v>
      </c>
      <c r="AD18" s="19">
        <f t="shared" si="5"/>
        <v>0</v>
      </c>
      <c r="AE18" s="19">
        <f t="shared" si="6"/>
        <v>31</v>
      </c>
    </row>
    <row r="19" spans="10:31" ht="22.5" customHeight="1" thickBot="1" x14ac:dyDescent="0.3">
      <c r="J19" s="153">
        <v>46121</v>
      </c>
      <c r="K19" s="18">
        <f t="shared" si="0"/>
        <v>4</v>
      </c>
      <c r="L19" s="18" t="s">
        <v>143</v>
      </c>
      <c r="M19" s="18" t="str">
        <f>IFERROR(VLOOKUP(J19,#REF!,4),"-")</f>
        <v>-</v>
      </c>
      <c r="N19" s="18" t="str">
        <f>IFERROR(VLOOKUP(J19,#REF!,6),"-")</f>
        <v>-</v>
      </c>
      <c r="O19" s="18" t="str">
        <f>IFERROR(VLOOKUP(J19,#REF!,8),"-")</f>
        <v>-</v>
      </c>
      <c r="P19" s="18" t="str">
        <f>IFERROR(VLOOKUP(J19,#REF!,10),"-")</f>
        <v>-</v>
      </c>
      <c r="Q19" s="18" t="str">
        <f>IFERROR(VLOOKUP(J19,#REF!,12),"-")</f>
        <v>-</v>
      </c>
      <c r="R19" s="18" t="str">
        <f>IFERROR(VLOOKUP(J19,#REF!,14),"-")</f>
        <v>-</v>
      </c>
      <c r="S19" s="18" t="str">
        <f>IFERROR(VLOOKUP(J19,#REF!,16),"-")</f>
        <v>-</v>
      </c>
      <c r="T19" s="18" t="str">
        <f>IFERROR(VLOOKUP(J19,#REF!,18),"-")</f>
        <v>-</v>
      </c>
      <c r="U19" s="18" t="str">
        <f>IFERROR(VLOOKUP(J19,#REF!,20),"-")</f>
        <v>-</v>
      </c>
      <c r="V19" s="24" t="str">
        <f>IFERROR(VLOOKUP(J19,#REF!,22),"-")</f>
        <v>-</v>
      </c>
      <c r="X19" s="50" t="s">
        <v>4</v>
      </c>
      <c r="Y19" s="25" t="e">
        <f>#REF!</f>
        <v>#REF!</v>
      </c>
      <c r="Z19" s="19">
        <f t="shared" si="1"/>
        <v>0</v>
      </c>
      <c r="AA19" s="19">
        <f t="shared" si="2"/>
        <v>0</v>
      </c>
      <c r="AB19" s="19">
        <f t="shared" si="3"/>
        <v>0</v>
      </c>
      <c r="AC19" s="19">
        <f t="shared" si="4"/>
        <v>0</v>
      </c>
      <c r="AD19" s="19">
        <f t="shared" si="5"/>
        <v>0</v>
      </c>
      <c r="AE19" s="19">
        <f t="shared" si="6"/>
        <v>31</v>
      </c>
    </row>
    <row r="20" spans="10:31" ht="22.5" customHeight="1" x14ac:dyDescent="0.25">
      <c r="J20" s="153">
        <v>46122</v>
      </c>
      <c r="K20" s="18">
        <f t="shared" si="0"/>
        <v>5</v>
      </c>
      <c r="L20" s="18" t="s">
        <v>144</v>
      </c>
      <c r="M20" s="18" t="str">
        <f>IFERROR(VLOOKUP(J20,#REF!,4),"-")</f>
        <v>-</v>
      </c>
      <c r="N20" s="18" t="str">
        <f>IFERROR(VLOOKUP(J20,#REF!,6),"-")</f>
        <v>-</v>
      </c>
      <c r="O20" s="18" t="str">
        <f>IFERROR(VLOOKUP(J20,#REF!,8),"-")</f>
        <v>-</v>
      </c>
      <c r="P20" s="18" t="str">
        <f>IFERROR(VLOOKUP(J20,#REF!,10),"-")</f>
        <v>-</v>
      </c>
      <c r="Q20" s="18" t="str">
        <f>IFERROR(VLOOKUP(J20,#REF!,12),"-")</f>
        <v>-</v>
      </c>
      <c r="R20" s="18" t="str">
        <f>IFERROR(VLOOKUP(J20,#REF!,14),"-")</f>
        <v>-</v>
      </c>
      <c r="S20" s="18" t="str">
        <f>IFERROR(VLOOKUP(J20,#REF!,16),"-")</f>
        <v>-</v>
      </c>
      <c r="T20" s="18" t="str">
        <f>IFERROR(VLOOKUP(J20,#REF!,18),"-")</f>
        <v>-</v>
      </c>
      <c r="U20" s="18" t="str">
        <f>IFERROR(VLOOKUP(J20,#REF!,20),"-")</f>
        <v>-</v>
      </c>
      <c r="V20" s="24" t="str">
        <f>IFERROR(VLOOKUP(J20,#REF!,22),"-")</f>
        <v>-</v>
      </c>
      <c r="X20" s="50" t="s">
        <v>28</v>
      </c>
      <c r="Y20" s="25" t="e">
        <f>#REF!</f>
        <v>#REF!</v>
      </c>
      <c r="Z20" s="19">
        <f t="shared" si="1"/>
        <v>0</v>
      </c>
      <c r="AA20" s="19">
        <f t="shared" si="2"/>
        <v>0</v>
      </c>
      <c r="AB20" s="19">
        <f t="shared" si="3"/>
        <v>0</v>
      </c>
      <c r="AC20" s="19">
        <f t="shared" si="4"/>
        <v>0</v>
      </c>
      <c r="AD20" s="19">
        <f t="shared" si="5"/>
        <v>0</v>
      </c>
      <c r="AE20" s="19">
        <f t="shared" si="6"/>
        <v>31</v>
      </c>
    </row>
    <row r="21" spans="10:31" ht="22.5" customHeight="1" thickBot="1" x14ac:dyDescent="0.3">
      <c r="J21" s="26">
        <v>46123</v>
      </c>
      <c r="K21" s="18">
        <f t="shared" si="0"/>
        <v>6</v>
      </c>
      <c r="L21" s="18" t="s">
        <v>145</v>
      </c>
      <c r="M21" s="18" t="str">
        <f>IFERROR(VLOOKUP(J21,#REF!,4),"-")</f>
        <v>-</v>
      </c>
      <c r="N21" s="18" t="str">
        <f>IFERROR(VLOOKUP(J21,#REF!,6),"-")</f>
        <v>-</v>
      </c>
      <c r="O21" s="18" t="str">
        <f>IFERROR(VLOOKUP(J21,#REF!,8),"-")</f>
        <v>-</v>
      </c>
      <c r="P21" s="18" t="str">
        <f>IFERROR(VLOOKUP(J21,#REF!,10),"-")</f>
        <v>-</v>
      </c>
      <c r="Q21" s="18" t="str">
        <f>IFERROR(VLOOKUP(J21,#REF!,12),"-")</f>
        <v>-</v>
      </c>
      <c r="R21" s="18" t="str">
        <f>IFERROR(VLOOKUP(J21,#REF!,14),"-")</f>
        <v>-</v>
      </c>
      <c r="S21" s="18" t="str">
        <f>IFERROR(VLOOKUP(J21,#REF!,16),"-")</f>
        <v>-</v>
      </c>
      <c r="T21" s="18" t="str">
        <f>IFERROR(VLOOKUP(J21,#REF!,18),"-")</f>
        <v>-</v>
      </c>
      <c r="U21" s="18" t="str">
        <f>IFERROR(VLOOKUP(J21,#REF!,20),"-")</f>
        <v>-</v>
      </c>
      <c r="V21" s="24" t="str">
        <f>IFERROR(VLOOKUP(J21,#REF!,22),"-")</f>
        <v>-</v>
      </c>
      <c r="X21" s="50" t="s">
        <v>6</v>
      </c>
      <c r="Y21" s="25" t="e">
        <f>#REF!</f>
        <v>#REF!</v>
      </c>
      <c r="Z21" s="19">
        <f t="shared" si="1"/>
        <v>0</v>
      </c>
      <c r="AA21" s="19">
        <f t="shared" si="2"/>
        <v>0</v>
      </c>
      <c r="AB21" s="19">
        <f t="shared" si="3"/>
        <v>0</v>
      </c>
      <c r="AC21" s="19">
        <f t="shared" si="4"/>
        <v>0</v>
      </c>
      <c r="AD21" s="19">
        <f t="shared" si="5"/>
        <v>0</v>
      </c>
      <c r="AE21" s="19">
        <f t="shared" si="6"/>
        <v>31</v>
      </c>
    </row>
    <row r="22" spans="10:31" ht="22.5" customHeight="1" thickBot="1" x14ac:dyDescent="0.3">
      <c r="J22" s="153">
        <v>46124</v>
      </c>
      <c r="K22" s="18">
        <f t="shared" si="0"/>
        <v>7</v>
      </c>
      <c r="L22" s="18" t="s">
        <v>147</v>
      </c>
      <c r="M22" s="18" t="str">
        <f>IFERROR(VLOOKUP(J22,#REF!,4),"-")</f>
        <v>-</v>
      </c>
      <c r="N22" s="18" t="str">
        <f>IFERROR(VLOOKUP(J22,#REF!,6),"-")</f>
        <v>-</v>
      </c>
      <c r="O22" s="18" t="str">
        <f>IFERROR(VLOOKUP(J22,#REF!,8),"-")</f>
        <v>-</v>
      </c>
      <c r="P22" s="18" t="str">
        <f>IFERROR(VLOOKUP(J22,#REF!,10),"-")</f>
        <v>-</v>
      </c>
      <c r="Q22" s="18" t="str">
        <f>IFERROR(VLOOKUP(J22,#REF!,12),"-")</f>
        <v>-</v>
      </c>
      <c r="R22" s="18" t="str">
        <f>IFERROR(VLOOKUP(J22,#REF!,14),"-")</f>
        <v>-</v>
      </c>
      <c r="S22" s="18" t="str">
        <f>IFERROR(VLOOKUP(J22,#REF!,16),"-")</f>
        <v>-</v>
      </c>
      <c r="T22" s="18" t="str">
        <f>IFERROR(VLOOKUP(J22,#REF!,18),"-")</f>
        <v>-</v>
      </c>
      <c r="U22" s="18" t="str">
        <f>IFERROR(VLOOKUP(J22,#REF!,20),"-")</f>
        <v>-</v>
      </c>
      <c r="V22" s="24" t="str">
        <f>IFERROR(VLOOKUP(J22,#REF!,22),"-")</f>
        <v>-</v>
      </c>
      <c r="X22" s="50" t="s">
        <v>59</v>
      </c>
      <c r="Y22" s="25" t="e">
        <f>#REF!</f>
        <v>#REF!</v>
      </c>
      <c r="Z22" s="19">
        <f t="shared" si="1"/>
        <v>0</v>
      </c>
      <c r="AA22" s="19">
        <f t="shared" si="2"/>
        <v>0</v>
      </c>
      <c r="AB22" s="19">
        <f t="shared" si="3"/>
        <v>0</v>
      </c>
      <c r="AC22" s="19">
        <f t="shared" si="4"/>
        <v>0</v>
      </c>
      <c r="AD22" s="19">
        <f t="shared" si="5"/>
        <v>0</v>
      </c>
      <c r="AE22" s="19">
        <f t="shared" si="6"/>
        <v>31</v>
      </c>
    </row>
    <row r="23" spans="10:31" ht="22.5" customHeight="1" x14ac:dyDescent="0.25">
      <c r="J23" s="153">
        <v>46125</v>
      </c>
      <c r="K23" s="18">
        <f t="shared" si="0"/>
        <v>1</v>
      </c>
      <c r="L23" s="18" t="s">
        <v>148</v>
      </c>
      <c r="M23" s="18" t="str">
        <f>IFERROR(VLOOKUP(J23,#REF!,4),"-")</f>
        <v>-</v>
      </c>
      <c r="N23" s="18" t="str">
        <f>IFERROR(VLOOKUP(J23,#REF!,6),"-")</f>
        <v>-</v>
      </c>
      <c r="O23" s="18" t="str">
        <f>IFERROR(VLOOKUP(J23,#REF!,8),"-")</f>
        <v>-</v>
      </c>
      <c r="P23" s="18" t="str">
        <f>IFERROR(VLOOKUP(J23,#REF!,10),"-")</f>
        <v>-</v>
      </c>
      <c r="Q23" s="18" t="str">
        <f>IFERROR(VLOOKUP(J23,#REF!,12),"-")</f>
        <v>-</v>
      </c>
      <c r="R23" s="18" t="str">
        <f>IFERROR(VLOOKUP(J23,#REF!,14),"-")</f>
        <v>-</v>
      </c>
      <c r="S23" s="18" t="str">
        <f>IFERROR(VLOOKUP(J23,#REF!,16),"-")</f>
        <v>-</v>
      </c>
      <c r="T23" s="18" t="str">
        <f>IFERROR(VLOOKUP(J23,#REF!,18),"-")</f>
        <v>-</v>
      </c>
      <c r="U23" s="18" t="str">
        <f>IFERROR(VLOOKUP(J23,#REF!,20),"-")</f>
        <v>-</v>
      </c>
      <c r="V23" s="24" t="str">
        <f>IFERROR(VLOOKUP(J23,#REF!,22),"-")</f>
        <v>-</v>
      </c>
      <c r="X23" s="50" t="s">
        <v>95</v>
      </c>
      <c r="Y23" s="25" t="e">
        <f>#REF!</f>
        <v>#REF!</v>
      </c>
      <c r="Z23" s="19">
        <f t="shared" si="1"/>
        <v>0</v>
      </c>
      <c r="AA23" s="19">
        <f t="shared" si="2"/>
        <v>0</v>
      </c>
      <c r="AB23" s="19">
        <f t="shared" si="3"/>
        <v>0</v>
      </c>
      <c r="AC23" s="19">
        <f t="shared" si="4"/>
        <v>0</v>
      </c>
      <c r="AD23" s="19">
        <f t="shared" si="5"/>
        <v>0</v>
      </c>
      <c r="AE23" s="19">
        <f t="shared" si="6"/>
        <v>31</v>
      </c>
    </row>
    <row r="24" spans="10:31" ht="22.5" customHeight="1" thickBot="1" x14ac:dyDescent="0.3">
      <c r="J24" s="26">
        <v>46126</v>
      </c>
      <c r="K24" s="18">
        <f t="shared" si="0"/>
        <v>2</v>
      </c>
      <c r="L24" s="18" t="s">
        <v>149</v>
      </c>
      <c r="M24" s="18" t="str">
        <f>IFERROR(VLOOKUP(J24,#REF!,4),"-")</f>
        <v>-</v>
      </c>
      <c r="N24" s="18" t="str">
        <f>IFERROR(VLOOKUP(J24,#REF!,6),"-")</f>
        <v>-</v>
      </c>
      <c r="O24" s="18" t="str">
        <f>IFERROR(VLOOKUP(J24,#REF!,8),"-")</f>
        <v>-</v>
      </c>
      <c r="P24" s="18" t="str">
        <f>IFERROR(VLOOKUP(J24,#REF!,10),"-")</f>
        <v>-</v>
      </c>
      <c r="Q24" s="18" t="str">
        <f>IFERROR(VLOOKUP(J24,#REF!,12),"-")</f>
        <v>-</v>
      </c>
      <c r="R24" s="18" t="str">
        <f>IFERROR(VLOOKUP(J24,#REF!,14),"-")</f>
        <v>-</v>
      </c>
      <c r="S24" s="18" t="str">
        <f>IFERROR(VLOOKUP(J24,#REF!,16),"-")</f>
        <v>-</v>
      </c>
      <c r="T24" s="18" t="str">
        <f>IFERROR(VLOOKUP(J24,#REF!,18),"-")</f>
        <v>-</v>
      </c>
      <c r="U24" s="18" t="str">
        <f>IFERROR(VLOOKUP(J24,#REF!,20),"-")</f>
        <v>-</v>
      </c>
      <c r="V24" s="24" t="str">
        <f>IFERROR(VLOOKUP(J24,#REF!,22),"-")</f>
        <v>-</v>
      </c>
      <c r="X24" s="50" t="s">
        <v>99</v>
      </c>
      <c r="Y24" s="25" t="e">
        <f>#REF!</f>
        <v>#REF!</v>
      </c>
      <c r="Z24" s="19">
        <f t="shared" si="1"/>
        <v>0</v>
      </c>
      <c r="AA24" s="19">
        <f t="shared" si="2"/>
        <v>0</v>
      </c>
      <c r="AB24" s="19">
        <f t="shared" si="3"/>
        <v>0</v>
      </c>
      <c r="AC24" s="19">
        <f t="shared" si="4"/>
        <v>0</v>
      </c>
      <c r="AD24" s="19">
        <f t="shared" si="5"/>
        <v>0</v>
      </c>
      <c r="AE24" s="19">
        <f t="shared" si="6"/>
        <v>31</v>
      </c>
    </row>
    <row r="25" spans="10:31" ht="22.5" customHeight="1" thickBot="1" x14ac:dyDescent="0.3">
      <c r="J25" s="153">
        <v>46127</v>
      </c>
      <c r="K25" s="18">
        <f t="shared" si="0"/>
        <v>3</v>
      </c>
      <c r="L25" s="22" t="s">
        <v>146</v>
      </c>
      <c r="M25" s="18" t="str">
        <f>IFERROR(VLOOKUP(J25,#REF!,4),"-")</f>
        <v>-</v>
      </c>
      <c r="N25" s="18" t="str">
        <f>IFERROR(VLOOKUP(J25,#REF!,6),"-")</f>
        <v>-</v>
      </c>
      <c r="O25" s="18" t="str">
        <f>IFERROR(VLOOKUP(J25,#REF!,8),"-")</f>
        <v>-</v>
      </c>
      <c r="P25" s="18" t="str">
        <f>IFERROR(VLOOKUP(J25,#REF!,10),"-")</f>
        <v>-</v>
      </c>
      <c r="Q25" s="18" t="str">
        <f>IFERROR(VLOOKUP(J25,#REF!,12),"-")</f>
        <v>-</v>
      </c>
      <c r="R25" s="18" t="str">
        <f>IFERROR(VLOOKUP(J25,#REF!,14),"-")</f>
        <v>-</v>
      </c>
      <c r="S25" s="18" t="str">
        <f>IFERROR(VLOOKUP(J25,#REF!,16),"-")</f>
        <v>-</v>
      </c>
      <c r="T25" s="18" t="str">
        <f>IFERROR(VLOOKUP(J25,#REF!,18),"-")</f>
        <v>-</v>
      </c>
      <c r="U25" s="18" t="str">
        <f>IFERROR(VLOOKUP(J25,#REF!,20),"-")</f>
        <v>-</v>
      </c>
      <c r="V25" s="24" t="str">
        <f>IFERROR(VLOOKUP(J25,#REF!,22),"-")</f>
        <v>-</v>
      </c>
      <c r="X25" s="78" t="s">
        <v>62</v>
      </c>
      <c r="Y25" s="25" t="e">
        <f>#REF!</f>
        <v>#REF!</v>
      </c>
      <c r="Z25" s="19" t="s">
        <v>68</v>
      </c>
      <c r="AA25" s="19">
        <f>COUNTIF($Q$11:$Q$42,Y25)</f>
        <v>0</v>
      </c>
      <c r="AB25" s="19">
        <f>COUNTIF($R$11:$R$42,Y25)</f>
        <v>0</v>
      </c>
      <c r="AC25" s="19" t="e">
        <f>#REF!</f>
        <v>#REF!</v>
      </c>
      <c r="AD25" s="19" t="e">
        <f t="shared" si="5"/>
        <v>#REF!</v>
      </c>
      <c r="AE25" s="19" t="e">
        <f t="shared" si="6"/>
        <v>#REF!</v>
      </c>
    </row>
    <row r="26" spans="10:31" ht="22.5" customHeight="1" x14ac:dyDescent="0.25">
      <c r="J26" s="153">
        <v>46128</v>
      </c>
      <c r="K26" s="18">
        <f t="shared" si="0"/>
        <v>4</v>
      </c>
      <c r="L26" s="18" t="s">
        <v>143</v>
      </c>
      <c r="M26" s="18" t="str">
        <f>IFERROR(VLOOKUP(J26,#REF!,4),"-")</f>
        <v>-</v>
      </c>
      <c r="N26" s="18" t="str">
        <f>IFERROR(VLOOKUP(J26,#REF!,6),"-")</f>
        <v>-</v>
      </c>
      <c r="O26" s="18" t="str">
        <f>IFERROR(VLOOKUP(J26,#REF!,8),"-")</f>
        <v>-</v>
      </c>
      <c r="P26" s="18" t="str">
        <f>IFERROR(VLOOKUP(J26,#REF!,10),"-")</f>
        <v>-</v>
      </c>
      <c r="Q26" s="18" t="str">
        <f>IFERROR(VLOOKUP(J26,#REF!,12),"-")</f>
        <v>-</v>
      </c>
      <c r="R26" s="18" t="str">
        <f>IFERROR(VLOOKUP(J26,#REF!,14),"-")</f>
        <v>-</v>
      </c>
      <c r="S26" s="18" t="str">
        <f>IFERROR(VLOOKUP(J26,#REF!,16),"-")</f>
        <v>-</v>
      </c>
      <c r="T26" s="18" t="str">
        <f>IFERROR(VLOOKUP(J26,#REF!,18),"-")</f>
        <v>-</v>
      </c>
      <c r="U26" s="18" t="str">
        <f>IFERROR(VLOOKUP(J26,#REF!,20),"-")</f>
        <v>-</v>
      </c>
      <c r="V26" s="24" t="str">
        <f>IFERROR(VLOOKUP(J26,#REF!,22),"-")</f>
        <v>-</v>
      </c>
      <c r="X26" s="78" t="s">
        <v>63</v>
      </c>
      <c r="Y26" s="25" t="e">
        <f>#REF!</f>
        <v>#REF!</v>
      </c>
      <c r="Z26" s="19" t="s">
        <v>68</v>
      </c>
      <c r="AA26" s="19">
        <f>COUNTIF($Q$11:$Q$42,Y26)</f>
        <v>0</v>
      </c>
      <c r="AB26" s="19">
        <f>COUNTIF($R$11:$R$42,Y26)</f>
        <v>0</v>
      </c>
      <c r="AC26" s="19" t="e">
        <f>#REF!</f>
        <v>#REF!</v>
      </c>
      <c r="AD26" s="19" t="e">
        <f t="shared" si="5"/>
        <v>#REF!</v>
      </c>
      <c r="AE26" s="19" t="e">
        <f t="shared" si="6"/>
        <v>#REF!</v>
      </c>
    </row>
    <row r="27" spans="10:31" ht="22.5" customHeight="1" thickBot="1" x14ac:dyDescent="0.3">
      <c r="J27" s="26">
        <v>46129</v>
      </c>
      <c r="K27" s="18">
        <f t="shared" si="0"/>
        <v>5</v>
      </c>
      <c r="L27" s="18" t="s">
        <v>144</v>
      </c>
      <c r="M27" s="18" t="str">
        <f>IFERROR(VLOOKUP(J27,#REF!,4),"-")</f>
        <v>-</v>
      </c>
      <c r="N27" s="18" t="str">
        <f>IFERROR(VLOOKUP(J27,#REF!,6),"-")</f>
        <v>-</v>
      </c>
      <c r="O27" s="18" t="str">
        <f>IFERROR(VLOOKUP(J27,#REF!,8),"-")</f>
        <v>-</v>
      </c>
      <c r="P27" s="18" t="str">
        <f>IFERROR(VLOOKUP(J27,#REF!,10),"-")</f>
        <v>-</v>
      </c>
      <c r="Q27" s="18" t="str">
        <f>IFERROR(VLOOKUP(J27,#REF!,12),"-")</f>
        <v>-</v>
      </c>
      <c r="R27" s="18" t="str">
        <f>IFERROR(VLOOKUP(J27,#REF!,14),"-")</f>
        <v>-</v>
      </c>
      <c r="S27" s="18" t="str">
        <f>IFERROR(VLOOKUP(J27,#REF!,16),"-")</f>
        <v>-</v>
      </c>
      <c r="T27" s="18" t="str">
        <f>IFERROR(VLOOKUP(J27,#REF!,18),"-")</f>
        <v>-</v>
      </c>
      <c r="U27" s="18" t="str">
        <f>IFERROR(VLOOKUP(J27,#REF!,20),"-")</f>
        <v>-</v>
      </c>
      <c r="V27" s="24" t="str">
        <f>IFERROR(VLOOKUP(J27,#REF!,22),"-")</f>
        <v>-</v>
      </c>
    </row>
    <row r="28" spans="10:31" ht="22.5" customHeight="1" thickBot="1" x14ac:dyDescent="0.3">
      <c r="J28" s="153">
        <v>46130</v>
      </c>
      <c r="K28" s="18">
        <f t="shared" si="0"/>
        <v>6</v>
      </c>
      <c r="L28" s="18" t="s">
        <v>145</v>
      </c>
      <c r="M28" s="18" t="str">
        <f>IFERROR(VLOOKUP(J28,#REF!,4),"-")</f>
        <v>-</v>
      </c>
      <c r="N28" s="18" t="str">
        <f>IFERROR(VLOOKUP(J28,#REF!,6),"-")</f>
        <v>-</v>
      </c>
      <c r="O28" s="18" t="str">
        <f>IFERROR(VLOOKUP(J28,#REF!,8),"-")</f>
        <v>-</v>
      </c>
      <c r="P28" s="18" t="str">
        <f>IFERROR(VLOOKUP(J28,#REF!,10),"-")</f>
        <v>-</v>
      </c>
      <c r="Q28" s="18" t="str">
        <f>IFERROR(VLOOKUP(J28,#REF!,12),"-")</f>
        <v>-</v>
      </c>
      <c r="R28" s="18" t="str">
        <f>IFERROR(VLOOKUP(J28,#REF!,14),"-")</f>
        <v>-</v>
      </c>
      <c r="S28" s="18" t="str">
        <f>IFERROR(VLOOKUP(J28,#REF!,16),"-")</f>
        <v>-</v>
      </c>
      <c r="T28" s="18" t="str">
        <f>IFERROR(VLOOKUP(J28,#REF!,18),"-")</f>
        <v>-</v>
      </c>
      <c r="U28" s="18" t="str">
        <f>IFERROR(VLOOKUP(J28,#REF!,20),"-")</f>
        <v>-</v>
      </c>
      <c r="V28" s="24" t="str">
        <f>IFERROR(VLOOKUP(J28,#REF!,22),"-")</f>
        <v>-</v>
      </c>
    </row>
    <row r="29" spans="10:31" ht="22.5" customHeight="1" x14ac:dyDescent="0.25">
      <c r="J29" s="153">
        <v>46131</v>
      </c>
      <c r="K29" s="18">
        <f t="shared" si="0"/>
        <v>7</v>
      </c>
      <c r="L29" s="18" t="s">
        <v>147</v>
      </c>
      <c r="M29" s="18" t="str">
        <f>IFERROR(VLOOKUP(J29,#REF!,4),"-")</f>
        <v>-</v>
      </c>
      <c r="N29" s="18" t="str">
        <f>IFERROR(VLOOKUP(J29,#REF!,6),"-")</f>
        <v>-</v>
      </c>
      <c r="O29" s="18" t="str">
        <f>IFERROR(VLOOKUP(J29,#REF!,8),"-")</f>
        <v>-</v>
      </c>
      <c r="P29" s="18" t="str">
        <f>IFERROR(VLOOKUP(J29,#REF!,10),"-")</f>
        <v>-</v>
      </c>
      <c r="Q29" s="18" t="str">
        <f>IFERROR(VLOOKUP(J29,#REF!,12),"-")</f>
        <v>-</v>
      </c>
      <c r="R29" s="18" t="str">
        <f>IFERROR(VLOOKUP(J29,#REF!,14),"-")</f>
        <v>-</v>
      </c>
      <c r="S29" s="18" t="str">
        <f>IFERROR(VLOOKUP(J29,#REF!,16),"-")</f>
        <v>-</v>
      </c>
      <c r="T29" s="18" t="str">
        <f>IFERROR(VLOOKUP(J29,#REF!,18),"-")</f>
        <v>-</v>
      </c>
      <c r="U29" s="18" t="str">
        <f>IFERROR(VLOOKUP(J29,#REF!,20),"-")</f>
        <v>-</v>
      </c>
      <c r="V29" s="24" t="str">
        <f>IFERROR(VLOOKUP(J29,#REF!,22),"-")</f>
        <v>-</v>
      </c>
    </row>
    <row r="30" spans="10:31" ht="22.5" customHeight="1" thickBot="1" x14ac:dyDescent="0.3">
      <c r="J30" s="26">
        <v>46132</v>
      </c>
      <c r="K30" s="18">
        <f t="shared" si="0"/>
        <v>1</v>
      </c>
      <c r="L30" s="18" t="s">
        <v>148</v>
      </c>
      <c r="M30" s="18" t="str">
        <f>IFERROR(VLOOKUP(J30,#REF!,4),"-")</f>
        <v>-</v>
      </c>
      <c r="N30" s="18" t="str">
        <f>IFERROR(VLOOKUP(J30,#REF!,6),"-")</f>
        <v>-</v>
      </c>
      <c r="O30" s="18" t="str">
        <f>IFERROR(VLOOKUP(J30,#REF!,8),"-")</f>
        <v>-</v>
      </c>
      <c r="P30" s="18" t="str">
        <f>IFERROR(VLOOKUP(J30,#REF!,10),"-")</f>
        <v>-</v>
      </c>
      <c r="Q30" s="18" t="str">
        <f>IFERROR(VLOOKUP(J30,#REF!,12),"-")</f>
        <v>-</v>
      </c>
      <c r="R30" s="18" t="str">
        <f>IFERROR(VLOOKUP(J30,#REF!,14),"-")</f>
        <v>-</v>
      </c>
      <c r="S30" s="18" t="str">
        <f>IFERROR(VLOOKUP(J30,#REF!,16),"-")</f>
        <v>-</v>
      </c>
      <c r="T30" s="18" t="str">
        <f>IFERROR(VLOOKUP(J30,#REF!,18),"-")</f>
        <v>-</v>
      </c>
      <c r="U30" s="18" t="str">
        <f>IFERROR(VLOOKUP(J30,#REF!,20),"-")</f>
        <v>-</v>
      </c>
      <c r="V30" s="24" t="str">
        <f>IFERROR(VLOOKUP(J30,#REF!,22),"-")</f>
        <v>-</v>
      </c>
      <c r="X30" s="155" t="e" cm="1">
        <f t="array" aca="1" ref="X30" ca="1">CountCcolor(M11:V41,X30)</f>
        <v>#NAME?</v>
      </c>
      <c r="Y30" s="217" t="e">
        <f ca="1">X30+X31</f>
        <v>#NAME?</v>
      </c>
    </row>
    <row r="31" spans="10:31" ht="22.5" customHeight="1" thickBot="1" x14ac:dyDescent="0.3">
      <c r="J31" s="153">
        <v>46133</v>
      </c>
      <c r="K31" s="18">
        <f t="shared" si="0"/>
        <v>2</v>
      </c>
      <c r="L31" s="18" t="s">
        <v>149</v>
      </c>
      <c r="M31" s="18" t="str">
        <f>IFERROR(VLOOKUP(J31,#REF!,4),"-")</f>
        <v>-</v>
      </c>
      <c r="N31" s="18" t="str">
        <f>IFERROR(VLOOKUP(J31,#REF!,6),"-")</f>
        <v>-</v>
      </c>
      <c r="O31" s="18" t="str">
        <f>IFERROR(VLOOKUP(J31,#REF!,8),"-")</f>
        <v>-</v>
      </c>
      <c r="P31" s="18" t="str">
        <f>IFERROR(VLOOKUP(J31,#REF!,10),"-")</f>
        <v>-</v>
      </c>
      <c r="Q31" s="18" t="str">
        <f>IFERROR(VLOOKUP(J31,#REF!,12),"-")</f>
        <v>-</v>
      </c>
      <c r="R31" s="18" t="str">
        <f>IFERROR(VLOOKUP(J31,#REF!,14),"-")</f>
        <v>-</v>
      </c>
      <c r="S31" s="18" t="str">
        <f>IFERROR(VLOOKUP(J31,#REF!,16),"-")</f>
        <v>-</v>
      </c>
      <c r="T31" s="18" t="str">
        <f>IFERROR(VLOOKUP(J31,#REF!,18),"-")</f>
        <v>-</v>
      </c>
      <c r="U31" s="18" t="str">
        <f>IFERROR(VLOOKUP(J31,#REF!,20),"-")</f>
        <v>-</v>
      </c>
      <c r="V31" s="24" t="str">
        <f>IFERROR(VLOOKUP(J31,#REF!,22),"-")</f>
        <v>-</v>
      </c>
      <c r="X31" s="156" t="e" cm="1">
        <f t="array" aca="1" ref="X31" ca="1">CountCcolor(M11:V41,X31)</f>
        <v>#NAME?</v>
      </c>
      <c r="Y31" s="218"/>
    </row>
    <row r="32" spans="10:31" ht="22.5" customHeight="1" x14ac:dyDescent="0.25">
      <c r="J32" s="153">
        <v>46134</v>
      </c>
      <c r="K32" s="18">
        <f t="shared" si="0"/>
        <v>3</v>
      </c>
      <c r="L32" s="22" t="s">
        <v>146</v>
      </c>
      <c r="M32" s="18" t="str">
        <f>IFERROR(VLOOKUP(J32,#REF!,4),"-")</f>
        <v>-</v>
      </c>
      <c r="N32" s="18" t="str">
        <f>IFERROR(VLOOKUP(J32,#REF!,6),"-")</f>
        <v>-</v>
      </c>
      <c r="O32" s="18" t="str">
        <f>IFERROR(VLOOKUP(J32,#REF!,8),"-")</f>
        <v>-</v>
      </c>
      <c r="P32" s="18" t="str">
        <f>IFERROR(VLOOKUP(J32,#REF!,10),"-")</f>
        <v>-</v>
      </c>
      <c r="Q32" s="18" t="str">
        <f>IFERROR(VLOOKUP(J32,#REF!,12),"-")</f>
        <v>-</v>
      </c>
      <c r="R32" s="18" t="str">
        <f>IFERROR(VLOOKUP(J32,#REF!,14),"-")</f>
        <v>-</v>
      </c>
      <c r="S32" s="18" t="str">
        <f>IFERROR(VLOOKUP(J32,#REF!,16),"-")</f>
        <v>-</v>
      </c>
      <c r="T32" s="18" t="str">
        <f>IFERROR(VLOOKUP(J32,#REF!,18),"-")</f>
        <v>-</v>
      </c>
      <c r="U32" s="18" t="str">
        <f>IFERROR(VLOOKUP(J32,#REF!,20),"-")</f>
        <v>-</v>
      </c>
      <c r="V32" s="24" t="str">
        <f>IFERROR(VLOOKUP(J32,#REF!,22),"-")</f>
        <v>-</v>
      </c>
    </row>
    <row r="33" spans="10:22" ht="22.5" customHeight="1" thickBot="1" x14ac:dyDescent="0.3">
      <c r="J33" s="26">
        <v>46135</v>
      </c>
      <c r="K33" s="18">
        <f t="shared" si="0"/>
        <v>4</v>
      </c>
      <c r="L33" s="18" t="s">
        <v>143</v>
      </c>
      <c r="M33" s="18" t="str">
        <f>IFERROR(VLOOKUP(J33,#REF!,4),"-")</f>
        <v>-</v>
      </c>
      <c r="N33" s="18" t="str">
        <f>IFERROR(VLOOKUP(J33,#REF!,6),"-")</f>
        <v>-</v>
      </c>
      <c r="O33" s="18" t="str">
        <f>IFERROR(VLOOKUP(J33,#REF!,8),"-")</f>
        <v>-</v>
      </c>
      <c r="P33" s="18" t="str">
        <f>IFERROR(VLOOKUP(J33,#REF!,10),"-")</f>
        <v>-</v>
      </c>
      <c r="Q33" s="18" t="str">
        <f>IFERROR(VLOOKUP(J33,#REF!,12),"-")</f>
        <v>-</v>
      </c>
      <c r="R33" s="18" t="str">
        <f>IFERROR(VLOOKUP(J33,#REF!,14),"-")</f>
        <v>-</v>
      </c>
      <c r="S33" s="18" t="str">
        <f>IFERROR(VLOOKUP(J33,#REF!,16),"-")</f>
        <v>-</v>
      </c>
      <c r="T33" s="18" t="str">
        <f>IFERROR(VLOOKUP(J33,#REF!,18),"-")</f>
        <v>-</v>
      </c>
      <c r="U33" s="18" t="str">
        <f>IFERROR(VLOOKUP(J33,#REF!,20),"-")</f>
        <v>-</v>
      </c>
      <c r="V33" s="24" t="str">
        <f>IFERROR(VLOOKUP(J33,#REF!,22),"-")</f>
        <v>-</v>
      </c>
    </row>
    <row r="34" spans="10:22" ht="22.5" customHeight="1" thickBot="1" x14ac:dyDescent="0.3">
      <c r="J34" s="153">
        <v>46136</v>
      </c>
      <c r="K34" s="18">
        <f t="shared" si="0"/>
        <v>5</v>
      </c>
      <c r="L34" s="18" t="s">
        <v>144</v>
      </c>
      <c r="M34" s="18" t="str">
        <f>IFERROR(VLOOKUP(J34,#REF!,4),"-")</f>
        <v>-</v>
      </c>
      <c r="N34" s="18" t="str">
        <f>IFERROR(VLOOKUP(J34,#REF!,6),"-")</f>
        <v>-</v>
      </c>
      <c r="O34" s="18" t="str">
        <f>IFERROR(VLOOKUP(J34,#REF!,8),"-")</f>
        <v>-</v>
      </c>
      <c r="P34" s="18" t="str">
        <f>IFERROR(VLOOKUP(J34,#REF!,10),"-")</f>
        <v>-</v>
      </c>
      <c r="Q34" s="18" t="str">
        <f>IFERROR(VLOOKUP(J34,#REF!,12),"-")</f>
        <v>-</v>
      </c>
      <c r="R34" s="18" t="str">
        <f>IFERROR(VLOOKUP(J34,#REF!,14),"-")</f>
        <v>-</v>
      </c>
      <c r="S34" s="18" t="str">
        <f>IFERROR(VLOOKUP(J34,#REF!,16),"-")</f>
        <v>-</v>
      </c>
      <c r="T34" s="18" t="str">
        <f>IFERROR(VLOOKUP(J34,#REF!,18),"-")</f>
        <v>-</v>
      </c>
      <c r="U34" s="18" t="str">
        <f>IFERROR(VLOOKUP(J34,#REF!,20),"-")</f>
        <v>-</v>
      </c>
      <c r="V34" s="24" t="str">
        <f>IFERROR(VLOOKUP(J34,#REF!,22),"-")</f>
        <v>-</v>
      </c>
    </row>
    <row r="35" spans="10:22" ht="22.5" customHeight="1" x14ac:dyDescent="0.25">
      <c r="J35" s="153">
        <v>46137</v>
      </c>
      <c r="K35" s="18">
        <f t="shared" si="0"/>
        <v>6</v>
      </c>
      <c r="L35" s="18" t="s">
        <v>145</v>
      </c>
      <c r="M35" s="18" t="str">
        <f>IFERROR(VLOOKUP(J35,#REF!,4),"-")</f>
        <v>-</v>
      </c>
      <c r="N35" s="18" t="str">
        <f>IFERROR(VLOOKUP(J35,#REF!,6),"-")</f>
        <v>-</v>
      </c>
      <c r="O35" s="18" t="str">
        <f>IFERROR(VLOOKUP(J35,#REF!,8),"-")</f>
        <v>-</v>
      </c>
      <c r="P35" s="18" t="str">
        <f>IFERROR(VLOOKUP(J35,#REF!,10),"-")</f>
        <v>-</v>
      </c>
      <c r="Q35" s="18" t="str">
        <f>IFERROR(VLOOKUP(J35,#REF!,12),"-")</f>
        <v>-</v>
      </c>
      <c r="R35" s="18" t="str">
        <f>IFERROR(VLOOKUP(J35,#REF!,14),"-")</f>
        <v>-</v>
      </c>
      <c r="S35" s="18" t="str">
        <f>IFERROR(VLOOKUP(J35,#REF!,16),"-")</f>
        <v>-</v>
      </c>
      <c r="T35" s="18" t="str">
        <f>IFERROR(VLOOKUP(J35,#REF!,18),"-")</f>
        <v>-</v>
      </c>
      <c r="U35" s="18" t="str">
        <f>IFERROR(VLOOKUP(J35,#REF!,20),"-")</f>
        <v>-</v>
      </c>
      <c r="V35" s="24" t="str">
        <f>IFERROR(VLOOKUP(J35,#REF!,22),"-")</f>
        <v>-</v>
      </c>
    </row>
    <row r="36" spans="10:22" ht="22.5" customHeight="1" thickBot="1" x14ac:dyDescent="0.3">
      <c r="J36" s="26">
        <v>46138</v>
      </c>
      <c r="K36" s="18">
        <f t="shared" si="0"/>
        <v>7</v>
      </c>
      <c r="L36" s="18" t="s">
        <v>147</v>
      </c>
      <c r="M36" s="18" t="str">
        <f>IFERROR(VLOOKUP(J36,#REF!,4),"-")</f>
        <v>-</v>
      </c>
      <c r="N36" s="18" t="str">
        <f>IFERROR(VLOOKUP(J36,#REF!,6),"-")</f>
        <v>-</v>
      </c>
      <c r="O36" s="18" t="str">
        <f>IFERROR(VLOOKUP(J36,#REF!,8),"-")</f>
        <v>-</v>
      </c>
      <c r="P36" s="18" t="str">
        <f>IFERROR(VLOOKUP(J36,#REF!,10),"-")</f>
        <v>-</v>
      </c>
      <c r="Q36" s="18" t="str">
        <f>IFERROR(VLOOKUP(J36,#REF!,12),"-")</f>
        <v>-</v>
      </c>
      <c r="R36" s="18" t="str">
        <f>IFERROR(VLOOKUP(J36,#REF!,14),"-")</f>
        <v>-</v>
      </c>
      <c r="S36" s="18" t="str">
        <f>IFERROR(VLOOKUP(J36,#REF!,16),"-")</f>
        <v>-</v>
      </c>
      <c r="T36" s="18" t="str">
        <f>IFERROR(VLOOKUP(J36,#REF!,18),"-")</f>
        <v>-</v>
      </c>
      <c r="U36" s="18" t="str">
        <f>IFERROR(VLOOKUP(J36,#REF!,20),"-")</f>
        <v>-</v>
      </c>
      <c r="V36" s="24" t="str">
        <f>IFERROR(VLOOKUP(J36,#REF!,22),"-")</f>
        <v>-</v>
      </c>
    </row>
    <row r="37" spans="10:22" ht="22.5" customHeight="1" thickBot="1" x14ac:dyDescent="0.3">
      <c r="J37" s="153">
        <v>46139</v>
      </c>
      <c r="K37" s="18">
        <f t="shared" si="0"/>
        <v>1</v>
      </c>
      <c r="L37" s="18" t="s">
        <v>148</v>
      </c>
      <c r="M37" s="18" t="str">
        <f>IFERROR(VLOOKUP(J37,#REF!,4),"-")</f>
        <v>-</v>
      </c>
      <c r="N37" s="18" t="str">
        <f>IFERROR(VLOOKUP(J37,#REF!,6),"-")</f>
        <v>-</v>
      </c>
      <c r="O37" s="18" t="str">
        <f>IFERROR(VLOOKUP(J37,#REF!,8),"-")</f>
        <v>-</v>
      </c>
      <c r="P37" s="18" t="str">
        <f>IFERROR(VLOOKUP(J37,#REF!,10),"-")</f>
        <v>-</v>
      </c>
      <c r="Q37" s="18" t="str">
        <f>IFERROR(VLOOKUP(J37,#REF!,12),"-")</f>
        <v>-</v>
      </c>
      <c r="R37" s="18" t="str">
        <f>IFERROR(VLOOKUP(J37,#REF!,14),"-")</f>
        <v>-</v>
      </c>
      <c r="S37" s="18" t="str">
        <f>IFERROR(VLOOKUP(J37,#REF!,16),"-")</f>
        <v>-</v>
      </c>
      <c r="T37" s="18" t="str">
        <f>IFERROR(VLOOKUP(J37,#REF!,18),"-")</f>
        <v>-</v>
      </c>
      <c r="U37" s="18" t="str">
        <f>IFERROR(VLOOKUP(J37,#REF!,20),"-")</f>
        <v>-</v>
      </c>
      <c r="V37" s="24" t="str">
        <f>IFERROR(VLOOKUP(J37,#REF!,22),"-")</f>
        <v>-</v>
      </c>
    </row>
    <row r="38" spans="10:22" ht="22.5" customHeight="1" thickBot="1" x14ac:dyDescent="0.3">
      <c r="J38" s="153">
        <v>46140</v>
      </c>
      <c r="K38" s="18">
        <f t="shared" si="0"/>
        <v>2</v>
      </c>
      <c r="L38" s="18" t="s">
        <v>149</v>
      </c>
      <c r="M38" s="18" t="str">
        <f>IFERROR(VLOOKUP(J38,#REF!,4),"-")</f>
        <v>-</v>
      </c>
      <c r="N38" s="18" t="str">
        <f>IFERROR(VLOOKUP(J38,#REF!,6),"-")</f>
        <v>-</v>
      </c>
      <c r="O38" s="18" t="str">
        <f>IFERROR(VLOOKUP(J38,#REF!,8),"-")</f>
        <v>-</v>
      </c>
      <c r="P38" s="18" t="str">
        <f>IFERROR(VLOOKUP(J38,#REF!,10),"-")</f>
        <v>-</v>
      </c>
      <c r="Q38" s="18" t="str">
        <f>IFERROR(VLOOKUP(J38,#REF!,12),"-")</f>
        <v>-</v>
      </c>
      <c r="R38" s="18" t="str">
        <f>IFERROR(VLOOKUP(J38,#REF!,14),"-")</f>
        <v>-</v>
      </c>
      <c r="S38" s="18" t="str">
        <f>IFERROR(VLOOKUP(J38,#REF!,16),"-")</f>
        <v>-</v>
      </c>
      <c r="T38" s="18" t="str">
        <f>IFERROR(VLOOKUP(J38,#REF!,18),"-")</f>
        <v>-</v>
      </c>
      <c r="U38" s="18" t="str">
        <f>IFERROR(VLOOKUP(J38,#REF!,20),"-")</f>
        <v>-</v>
      </c>
      <c r="V38" s="24" t="str">
        <f>IFERROR(VLOOKUP(J38,#REF!,22),"-")</f>
        <v>-</v>
      </c>
    </row>
    <row r="39" spans="10:22" ht="22.5" customHeight="1" thickBot="1" x14ac:dyDescent="0.3">
      <c r="J39" s="26">
        <v>46141</v>
      </c>
      <c r="K39" s="18">
        <f t="shared" si="0"/>
        <v>3</v>
      </c>
      <c r="L39" s="22" t="s">
        <v>146</v>
      </c>
      <c r="M39" s="18" t="str">
        <f>IFERROR(VLOOKUP(J39,#REF!,4),"-")</f>
        <v>-</v>
      </c>
      <c r="N39" s="18" t="str">
        <f>IFERROR(VLOOKUP(J39,#REF!,6),"-")</f>
        <v>-</v>
      </c>
      <c r="O39" s="18" t="str">
        <f>IFERROR(VLOOKUP(J39,#REF!,8),"-")</f>
        <v>-</v>
      </c>
      <c r="P39" s="18" t="str">
        <f>IFERROR(VLOOKUP(J39,#REF!,10),"-")</f>
        <v>-</v>
      </c>
      <c r="Q39" s="18" t="str">
        <f>IFERROR(VLOOKUP(J39,#REF!,12),"-")</f>
        <v>-</v>
      </c>
      <c r="R39" s="18" t="str">
        <f>IFERROR(VLOOKUP(J39,#REF!,14),"-")</f>
        <v>-</v>
      </c>
      <c r="S39" s="18" t="str">
        <f>IFERROR(VLOOKUP(J39,#REF!,16),"-")</f>
        <v>-</v>
      </c>
      <c r="T39" s="18" t="str">
        <f>IFERROR(VLOOKUP(J39,#REF!,18),"-")</f>
        <v>-</v>
      </c>
      <c r="U39" s="18" t="str">
        <f>IFERROR(VLOOKUP(J39,#REF!,20),"-")</f>
        <v>-</v>
      </c>
      <c r="V39" s="24" t="str">
        <f>IFERROR(VLOOKUP(J39,#REF!,22),"-")</f>
        <v>-</v>
      </c>
    </row>
    <row r="40" spans="10:22" ht="22.5" customHeight="1" thickBot="1" x14ac:dyDescent="0.3">
      <c r="J40" s="153">
        <v>46142</v>
      </c>
      <c r="K40" s="18">
        <f t="shared" si="0"/>
        <v>4</v>
      </c>
      <c r="L40" s="18" t="s">
        <v>143</v>
      </c>
      <c r="M40" s="18" t="str">
        <f>IFERROR(VLOOKUP(J40,#REF!,4),"-")</f>
        <v>-</v>
      </c>
      <c r="N40" s="18" t="str">
        <f>IFERROR(VLOOKUP(J40,#REF!,6),"-")</f>
        <v>-</v>
      </c>
      <c r="O40" s="18" t="str">
        <f>IFERROR(VLOOKUP(J40,#REF!,8),"-")</f>
        <v>-</v>
      </c>
      <c r="P40" s="18" t="str">
        <f>IFERROR(VLOOKUP(J40,#REF!,10),"-")</f>
        <v>-</v>
      </c>
      <c r="Q40" s="18" t="str">
        <f>IFERROR(VLOOKUP(J40,#REF!,12),"-")</f>
        <v>-</v>
      </c>
      <c r="R40" s="18" t="str">
        <f>IFERROR(VLOOKUP(J40,#REF!,14),"-")</f>
        <v>-</v>
      </c>
      <c r="S40" s="18" t="str">
        <f>IFERROR(VLOOKUP(J40,#REF!,16),"-")</f>
        <v>-</v>
      </c>
      <c r="T40" s="18" t="str">
        <f>IFERROR(VLOOKUP(J40,#REF!,18),"-")</f>
        <v>-</v>
      </c>
      <c r="U40" s="18" t="str">
        <f>IFERROR(VLOOKUP(J40,#REF!,20),"-")</f>
        <v>-</v>
      </c>
      <c r="V40" s="24" t="str">
        <f>IFERROR(VLOOKUP(J40,#REF!,22),"-")</f>
        <v>-</v>
      </c>
    </row>
    <row r="41" spans="10:22" ht="22.5" hidden="1" customHeight="1" thickBot="1" x14ac:dyDescent="0.3">
      <c r="J41" s="153">
        <v>46143</v>
      </c>
      <c r="K41" s="90">
        <f t="shared" si="0"/>
        <v>5</v>
      </c>
      <c r="L41" s="18" t="s">
        <v>144</v>
      </c>
      <c r="M41" s="90" t="str">
        <f>IFERROR(VLOOKUP(J41,#REF!,4),"-")</f>
        <v>-</v>
      </c>
      <c r="N41" s="90" t="str">
        <f>IFERROR(VLOOKUP(J41,#REF!,6),"-")</f>
        <v>-</v>
      </c>
      <c r="O41" s="90" t="str">
        <f>IFERROR(VLOOKUP(J41,#REF!,8),"-")</f>
        <v>-</v>
      </c>
      <c r="P41" s="90" t="str">
        <f>IFERROR(VLOOKUP(J41,#REF!,10),"-")</f>
        <v>-</v>
      </c>
      <c r="Q41" s="90" t="str">
        <f>IFERROR(VLOOKUP(J41,#REF!,12),"-")</f>
        <v>-</v>
      </c>
      <c r="R41" s="90" t="str">
        <f>IFERROR(VLOOKUP(J41,#REF!,14),"-")</f>
        <v>-</v>
      </c>
      <c r="S41" s="90" t="str">
        <f>IFERROR(VLOOKUP(J41,#REF!,16),"-")</f>
        <v>-</v>
      </c>
      <c r="T41" s="90" t="str">
        <f>IFERROR(VLOOKUP(J41,#REF!,18),"-")</f>
        <v>-</v>
      </c>
      <c r="U41" s="90" t="str">
        <f>IFERROR(VLOOKUP(J41,#REF!,20),"-")</f>
        <v>-</v>
      </c>
      <c r="V41" s="91" t="str">
        <f>IFERROR(VLOOKUP(J41,#REF!,22),"-")</f>
        <v>-</v>
      </c>
    </row>
    <row r="42" spans="10:22" ht="15" customHeight="1" x14ac:dyDescent="0.25">
      <c r="J42" s="109" t="s">
        <v>151</v>
      </c>
      <c r="K42" s="158"/>
      <c r="L42" s="158"/>
      <c r="M42" s="158"/>
      <c r="N42" s="158"/>
      <c r="O42" s="168"/>
      <c r="P42" s="158"/>
      <c r="Q42" s="159"/>
      <c r="R42" s="159"/>
      <c r="S42" s="158"/>
      <c r="T42" s="158"/>
      <c r="U42" s="158"/>
      <c r="V42" s="160"/>
    </row>
    <row r="43" spans="10:22" ht="15" customHeight="1" x14ac:dyDescent="0.25">
      <c r="J43" s="110" t="s">
        <v>152</v>
      </c>
      <c r="K43" s="161"/>
      <c r="L43" s="161"/>
      <c r="M43" s="161"/>
      <c r="N43" s="161"/>
      <c r="O43" s="169"/>
      <c r="P43" s="161"/>
      <c r="Q43" s="162"/>
      <c r="R43" s="162"/>
      <c r="S43" s="161"/>
      <c r="T43" s="161"/>
      <c r="U43" s="161"/>
      <c r="V43" s="163"/>
    </row>
    <row r="44" spans="10:22" ht="15" customHeight="1" x14ac:dyDescent="0.25">
      <c r="J44" s="110"/>
      <c r="K44" s="161"/>
      <c r="L44" s="161"/>
      <c r="M44" s="161"/>
      <c r="N44" s="161"/>
      <c r="O44" s="161"/>
      <c r="P44" s="161"/>
      <c r="Q44" s="162"/>
      <c r="R44" s="162"/>
      <c r="S44" s="161"/>
      <c r="T44" s="161"/>
      <c r="U44" s="161"/>
      <c r="V44" s="163"/>
    </row>
    <row r="45" spans="10:22" ht="15" customHeight="1" x14ac:dyDescent="0.25">
      <c r="J45" s="110"/>
      <c r="K45" s="161"/>
      <c r="L45" s="161"/>
      <c r="M45" s="161"/>
      <c r="N45" s="161"/>
      <c r="O45" s="161"/>
      <c r="P45" s="161"/>
      <c r="Q45" s="162"/>
      <c r="R45" s="162"/>
      <c r="S45" s="161"/>
      <c r="T45" s="161"/>
      <c r="U45" s="161"/>
      <c r="V45" s="163"/>
    </row>
    <row r="46" spans="10:22" ht="15" customHeight="1" x14ac:dyDescent="0.25">
      <c r="J46" s="110"/>
      <c r="K46" s="161"/>
      <c r="L46" s="161"/>
      <c r="M46" s="161"/>
      <c r="N46" s="161"/>
      <c r="O46" s="161"/>
      <c r="P46" s="161"/>
      <c r="Q46" s="162"/>
      <c r="R46" s="162"/>
      <c r="S46" s="161"/>
      <c r="T46" s="161"/>
      <c r="U46" s="161"/>
      <c r="V46" s="163"/>
    </row>
    <row r="47" spans="10:22" ht="15" customHeight="1" thickBot="1" x14ac:dyDescent="0.3">
      <c r="J47" s="164"/>
      <c r="K47" s="165"/>
      <c r="L47" s="165"/>
      <c r="M47" s="165"/>
      <c r="N47" s="165"/>
      <c r="O47" s="165"/>
      <c r="P47" s="165"/>
      <c r="Q47" s="166"/>
      <c r="R47" s="166"/>
      <c r="S47" s="165"/>
      <c r="T47" s="165"/>
      <c r="U47" s="165"/>
      <c r="V47" s="167"/>
    </row>
    <row r="48" spans="10:22" x14ac:dyDescent="0.25">
      <c r="S48"/>
      <c r="T48"/>
      <c r="U48"/>
      <c r="V48"/>
    </row>
    <row r="49" spans="19:22" x14ac:dyDescent="0.25">
      <c r="S49"/>
      <c r="T49"/>
      <c r="U49"/>
      <c r="V49"/>
    </row>
    <row r="50" spans="19:22" x14ac:dyDescent="0.25">
      <c r="S50"/>
      <c r="T50"/>
      <c r="U50"/>
      <c r="V50"/>
    </row>
    <row r="51" spans="19:22" x14ac:dyDescent="0.25">
      <c r="S51"/>
      <c r="T51"/>
      <c r="U51"/>
      <c r="V51"/>
    </row>
    <row r="52" spans="19:22" x14ac:dyDescent="0.25">
      <c r="S52"/>
      <c r="T52"/>
      <c r="U52"/>
      <c r="V52"/>
    </row>
    <row r="53" spans="19:22" x14ac:dyDescent="0.25">
      <c r="S53"/>
      <c r="T53"/>
      <c r="U53"/>
      <c r="V53"/>
    </row>
    <row r="54" spans="19:22" x14ac:dyDescent="0.25">
      <c r="S54"/>
      <c r="T54"/>
      <c r="U54"/>
      <c r="V54"/>
    </row>
    <row r="55" spans="19:22" x14ac:dyDescent="0.25">
      <c r="S55"/>
      <c r="T55"/>
      <c r="U55"/>
      <c r="V55"/>
    </row>
    <row r="56" spans="19:22" x14ac:dyDescent="0.25">
      <c r="S56"/>
      <c r="T56"/>
      <c r="U56"/>
      <c r="V56"/>
    </row>
    <row r="57" spans="19:22" x14ac:dyDescent="0.25">
      <c r="S57"/>
      <c r="T57"/>
      <c r="U57"/>
      <c r="V57"/>
    </row>
  </sheetData>
  <mergeCells count="11">
    <mergeCell ref="M3:V4"/>
    <mergeCell ref="X3:Y3"/>
    <mergeCell ref="X4:Y4"/>
    <mergeCell ref="M5:V6"/>
    <mergeCell ref="X5:Y5"/>
    <mergeCell ref="X6:Y6"/>
    <mergeCell ref="X7:Y7"/>
    <mergeCell ref="M8:V8"/>
    <mergeCell ref="J10:L10"/>
    <mergeCell ref="X10:Y10"/>
    <mergeCell ref="Y30:Y31"/>
  </mergeCells>
  <pageMargins left="0.51181102362204722" right="0.51181102362204722" top="0.78740157480314965" bottom="0.78740157480314965" header="0.31496062992125984" footer="0.31496062992125984"/>
  <pageSetup paperSize="9" scale="52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8D8DC-BAE1-4C69-8C21-52F5292BC7FD}">
  <sheetPr codeName="Planilha136"/>
  <dimension ref="A1:V67"/>
  <sheetViews>
    <sheetView showGridLines="0" topLeftCell="A7" zoomScale="70" zoomScaleNormal="70" workbookViewId="0">
      <selection activeCell="E23" sqref="E23"/>
    </sheetView>
  </sheetViews>
  <sheetFormatPr defaultColWidth="9.140625" defaultRowHeight="15" x14ac:dyDescent="0.25"/>
  <cols>
    <col min="1" max="1" width="13.42578125" style="114" bestFit="1" customWidth="1"/>
    <col min="2" max="2" width="13.42578125" style="114" hidden="1" customWidth="1"/>
    <col min="3" max="3" width="13.7109375" style="114" customWidth="1"/>
    <col min="4" max="6" width="16.140625" style="114" customWidth="1"/>
    <col min="7" max="7" width="15.42578125" style="114" customWidth="1"/>
    <col min="8" max="10" width="16.140625" style="114" customWidth="1"/>
    <col min="11" max="11" width="14.140625" style="114" customWidth="1"/>
    <col min="12" max="12" width="16.140625" style="114" customWidth="1"/>
    <col min="13" max="13" width="12.7109375" style="114" customWidth="1"/>
    <col min="14" max="14" width="16.140625" style="114" customWidth="1"/>
    <col min="15" max="15" width="14.140625" style="114" customWidth="1"/>
    <col min="16" max="16" width="16.140625" style="114" customWidth="1"/>
    <col min="17" max="17" width="14.7109375" style="114" customWidth="1"/>
    <col min="18" max="18" width="16.140625" style="114" customWidth="1"/>
    <col min="19" max="19" width="13.7109375" style="114" customWidth="1"/>
    <col min="20" max="20" width="14.85546875" style="114" customWidth="1"/>
    <col min="21" max="21" width="14.28515625" style="114" customWidth="1"/>
    <col min="22" max="22" width="14.7109375" style="114" customWidth="1"/>
    <col min="23" max="24" width="9.140625" style="114"/>
    <col min="25" max="27" width="10.42578125" style="114" customWidth="1"/>
    <col min="28" max="32" width="9.140625" style="114"/>
    <col min="33" max="33" width="12.7109375" style="114" bestFit="1" customWidth="1"/>
    <col min="34" max="34" width="9.140625" style="114"/>
    <col min="35" max="35" width="12.28515625" style="114" customWidth="1"/>
    <col min="36" max="36" width="11.28515625" style="114" customWidth="1"/>
    <col min="37" max="37" width="11.5703125" style="114" customWidth="1"/>
    <col min="38" max="38" width="11" style="114" customWidth="1"/>
    <col min="39" max="39" width="17.42578125" style="114" customWidth="1"/>
    <col min="40" max="16384" width="9.140625" style="114"/>
  </cols>
  <sheetData>
    <row r="1" spans="3:22" ht="15.75" thickBot="1" x14ac:dyDescent="0.3">
      <c r="V1" s="17"/>
    </row>
    <row r="2" spans="3:22" ht="16.5" thickBot="1" x14ac:dyDescent="0.3">
      <c r="C2" s="118" t="s">
        <v>22</v>
      </c>
      <c r="D2" s="119">
        <v>1</v>
      </c>
      <c r="E2" s="120"/>
      <c r="F2" s="4" t="s">
        <v>44</v>
      </c>
      <c r="G2" s="4" t="s">
        <v>43</v>
      </c>
      <c r="H2" s="4" t="s">
        <v>15</v>
      </c>
      <c r="I2" s="4" t="s">
        <v>16</v>
      </c>
      <c r="J2" s="4" t="s">
        <v>17</v>
      </c>
      <c r="K2" s="4" t="s">
        <v>18</v>
      </c>
      <c r="L2" s="4" t="s">
        <v>42</v>
      </c>
      <c r="M2" s="4" t="s">
        <v>14</v>
      </c>
      <c r="V2" s="17"/>
    </row>
    <row r="3" spans="3:22" ht="15.75" thickBot="1" x14ac:dyDescent="0.3">
      <c r="C3" s="121" t="s">
        <v>26</v>
      </c>
      <c r="D3" s="122" t="s">
        <v>47</v>
      </c>
      <c r="F3" s="123" t="s">
        <v>26</v>
      </c>
      <c r="G3" s="72" t="str">
        <f t="shared" ref="G3:G8" si="0">D3</f>
        <v>ALLAN</v>
      </c>
      <c r="H3" s="124">
        <f>COUNTIF($C$26:$E$60,F3)</f>
        <v>0</v>
      </c>
      <c r="I3" s="124">
        <f>COUNTIF($G$26:$I$60,F3)</f>
        <v>0</v>
      </c>
      <c r="J3" s="124">
        <f>COUNTIF($O$26:$Q$60,F3)</f>
        <v>0</v>
      </c>
      <c r="K3" s="124">
        <f>COUNTIF($S$26:$U$60,F3)</f>
        <v>0</v>
      </c>
      <c r="L3" s="124">
        <f>SUM(H3:K3)</f>
        <v>0</v>
      </c>
      <c r="M3" s="124">
        <f>$M$21-L3</f>
        <v>30</v>
      </c>
      <c r="N3" s="125"/>
      <c r="O3" s="27"/>
      <c r="P3" s="27"/>
      <c r="Q3" s="27"/>
      <c r="R3" s="27"/>
      <c r="S3" s="126"/>
      <c r="T3" s="17"/>
    </row>
    <row r="4" spans="3:22" x14ac:dyDescent="0.25">
      <c r="C4" s="127" t="s">
        <v>1</v>
      </c>
      <c r="D4" s="122" t="s">
        <v>50</v>
      </c>
      <c r="F4" s="123" t="s">
        <v>1</v>
      </c>
      <c r="G4" s="72" t="str">
        <f t="shared" si="0"/>
        <v>B.MACHADO</v>
      </c>
      <c r="H4" s="124">
        <f t="shared" ref="H4:H9" si="1">COUNTIF($C$26:$E$60,F4)</f>
        <v>0</v>
      </c>
      <c r="I4" s="124">
        <f t="shared" ref="I4:I9" si="2">COUNTIF($G$26:$I$60,F4)</f>
        <v>0</v>
      </c>
      <c r="J4" s="124">
        <f t="shared" ref="J4:J9" si="3">COUNTIF($O$26:$Q$60,F4)</f>
        <v>0</v>
      </c>
      <c r="K4" s="124">
        <f t="shared" ref="K4:K9" si="4">COUNTIF($S$26:$U$60,F4)</f>
        <v>0</v>
      </c>
      <c r="L4" s="124">
        <f t="shared" ref="L4:L18" si="5">SUM(H4:K4)</f>
        <v>0</v>
      </c>
      <c r="M4" s="124">
        <f t="shared" ref="M4:M18" si="6">$M$21-L4</f>
        <v>30</v>
      </c>
      <c r="N4" s="27"/>
      <c r="O4" s="1"/>
      <c r="P4" s="31">
        <v>31</v>
      </c>
      <c r="Q4"/>
      <c r="R4"/>
    </row>
    <row r="5" spans="3:22" ht="15.75" x14ac:dyDescent="0.25">
      <c r="C5" s="127" t="s">
        <v>0</v>
      </c>
      <c r="D5" s="122" t="s">
        <v>46</v>
      </c>
      <c r="F5" s="123" t="s">
        <v>0</v>
      </c>
      <c r="G5" s="72" t="str">
        <f t="shared" si="0"/>
        <v>EDUARDO</v>
      </c>
      <c r="H5" s="124">
        <f t="shared" si="1"/>
        <v>0</v>
      </c>
      <c r="I5" s="124">
        <f t="shared" si="2"/>
        <v>0</v>
      </c>
      <c r="J5" s="124">
        <f t="shared" si="3"/>
        <v>0</v>
      </c>
      <c r="K5" s="124">
        <f t="shared" si="4"/>
        <v>0</v>
      </c>
      <c r="L5" s="124">
        <f t="shared" si="5"/>
        <v>0</v>
      </c>
      <c r="M5" s="124">
        <f t="shared" si="6"/>
        <v>30</v>
      </c>
      <c r="N5" s="27"/>
      <c r="O5" s="47" t="s">
        <v>26</v>
      </c>
      <c r="P5" s="5" t="s">
        <v>12</v>
      </c>
      <c r="Q5"/>
      <c r="R5"/>
    </row>
    <row r="6" spans="3:22" x14ac:dyDescent="0.25">
      <c r="C6" s="127" t="s">
        <v>27</v>
      </c>
      <c r="D6" s="128" t="s">
        <v>48</v>
      </c>
      <c r="F6" s="123" t="s">
        <v>27</v>
      </c>
      <c r="G6" s="72" t="str">
        <f t="shared" si="0"/>
        <v>MARCO</v>
      </c>
      <c r="H6" s="124">
        <f t="shared" si="1"/>
        <v>0</v>
      </c>
      <c r="I6" s="124">
        <f t="shared" si="2"/>
        <v>0</v>
      </c>
      <c r="J6" s="124">
        <f t="shared" si="3"/>
        <v>0</v>
      </c>
      <c r="K6" s="124">
        <f t="shared" si="4"/>
        <v>0</v>
      </c>
      <c r="L6" s="124">
        <f t="shared" si="5"/>
        <v>0</v>
      </c>
      <c r="M6" s="124">
        <f t="shared" si="6"/>
        <v>30</v>
      </c>
      <c r="N6" s="27"/>
      <c r="O6" s="48" t="s">
        <v>1</v>
      </c>
      <c r="P6" s="5" t="s">
        <v>0</v>
      </c>
      <c r="Q6"/>
      <c r="R6"/>
    </row>
    <row r="7" spans="3:22" x14ac:dyDescent="0.25">
      <c r="C7" s="127" t="s">
        <v>8</v>
      </c>
      <c r="D7" s="130" t="s">
        <v>45</v>
      </c>
      <c r="F7" s="123" t="s">
        <v>8</v>
      </c>
      <c r="G7" s="72" t="str">
        <f t="shared" si="0"/>
        <v>B.HORNES</v>
      </c>
      <c r="H7" s="124">
        <f t="shared" si="1"/>
        <v>0</v>
      </c>
      <c r="I7" s="124">
        <f t="shared" si="2"/>
        <v>0</v>
      </c>
      <c r="J7" s="124">
        <f t="shared" si="3"/>
        <v>0</v>
      </c>
      <c r="K7" s="124">
        <f t="shared" si="4"/>
        <v>0</v>
      </c>
      <c r="L7" s="124">
        <f t="shared" si="5"/>
        <v>0</v>
      </c>
      <c r="M7" s="124">
        <f t="shared" si="6"/>
        <v>30</v>
      </c>
      <c r="N7" s="27"/>
      <c r="O7" s="48" t="s">
        <v>0</v>
      </c>
      <c r="P7" s="5" t="s">
        <v>8</v>
      </c>
      <c r="Q7"/>
      <c r="R7"/>
    </row>
    <row r="8" spans="3:22" x14ac:dyDescent="0.25">
      <c r="C8" s="127" t="s">
        <v>12</v>
      </c>
      <c r="D8" s="122" t="s">
        <v>49</v>
      </c>
      <c r="F8" s="123" t="s">
        <v>12</v>
      </c>
      <c r="G8" s="72" t="str">
        <f t="shared" si="0"/>
        <v>RODRIGO</v>
      </c>
      <c r="H8" s="124">
        <f t="shared" si="1"/>
        <v>0</v>
      </c>
      <c r="I8" s="124">
        <f t="shared" si="2"/>
        <v>0</v>
      </c>
      <c r="J8" s="124">
        <f t="shared" si="3"/>
        <v>0</v>
      </c>
      <c r="K8" s="124">
        <f t="shared" si="4"/>
        <v>0</v>
      </c>
      <c r="L8" s="124">
        <f t="shared" si="5"/>
        <v>0</v>
      </c>
      <c r="M8" s="124">
        <f t="shared" si="6"/>
        <v>30</v>
      </c>
      <c r="N8" s="27"/>
      <c r="O8" s="48" t="s">
        <v>27</v>
      </c>
      <c r="P8" s="5" t="s">
        <v>26</v>
      </c>
      <c r="Q8"/>
      <c r="R8"/>
    </row>
    <row r="9" spans="3:22" ht="15.75" thickBot="1" x14ac:dyDescent="0.3">
      <c r="C9" s="131" t="s">
        <v>3</v>
      </c>
      <c r="D9" s="132" t="s">
        <v>52</v>
      </c>
      <c r="F9" s="123" t="s">
        <v>3</v>
      </c>
      <c r="G9" s="72" t="str">
        <f>D9</f>
        <v>B.SELAYARAN</v>
      </c>
      <c r="H9" s="124">
        <f t="shared" si="1"/>
        <v>0</v>
      </c>
      <c r="I9" s="124">
        <f t="shared" si="2"/>
        <v>0</v>
      </c>
      <c r="J9" s="124">
        <f t="shared" si="3"/>
        <v>0</v>
      </c>
      <c r="K9" s="124">
        <f t="shared" si="4"/>
        <v>0</v>
      </c>
      <c r="L9" s="124">
        <f t="shared" si="5"/>
        <v>0</v>
      </c>
      <c r="M9" s="124">
        <f t="shared" si="6"/>
        <v>30</v>
      </c>
      <c r="N9" s="27"/>
      <c r="O9" s="48" t="s">
        <v>8</v>
      </c>
      <c r="P9" s="5" t="s">
        <v>27</v>
      </c>
      <c r="Q9"/>
      <c r="R9"/>
    </row>
    <row r="10" spans="3:22" ht="15.75" thickBot="1" x14ac:dyDescent="0.3">
      <c r="C10" s="118" t="s">
        <v>22</v>
      </c>
      <c r="D10" s="119">
        <v>2</v>
      </c>
      <c r="E10" s="27"/>
      <c r="F10" s="66" t="s">
        <v>10</v>
      </c>
      <c r="G10" s="77" t="str">
        <f t="shared" ref="G10:G16" si="7">D11</f>
        <v>VITORIA</v>
      </c>
      <c r="H10" s="116">
        <f>COUNTIF($C$26:$E$60,F10)</f>
        <v>0</v>
      </c>
      <c r="I10" s="116">
        <f>COUNTIF($G$26:$I$60,F10)</f>
        <v>0</v>
      </c>
      <c r="J10" s="116">
        <f>COUNTIF($O$26:$Q$60,F10)</f>
        <v>0</v>
      </c>
      <c r="K10" s="116">
        <f>COUNTIF($S$26:$U$60,F10)</f>
        <v>0</v>
      </c>
      <c r="L10" s="116">
        <f t="shared" si="5"/>
        <v>0</v>
      </c>
      <c r="M10" s="116">
        <f t="shared" si="6"/>
        <v>30</v>
      </c>
      <c r="N10" s="27"/>
      <c r="O10" s="48" t="s">
        <v>12</v>
      </c>
      <c r="P10" s="5" t="s">
        <v>1</v>
      </c>
      <c r="Q10"/>
      <c r="R10"/>
    </row>
    <row r="11" spans="3:22" x14ac:dyDescent="0.25">
      <c r="C11" s="133" t="s">
        <v>10</v>
      </c>
      <c r="D11" s="122" t="s">
        <v>132</v>
      </c>
      <c r="F11" s="66" t="s">
        <v>4</v>
      </c>
      <c r="G11" s="77" t="str">
        <f t="shared" si="7"/>
        <v>BRANCÃO</v>
      </c>
      <c r="H11" s="116">
        <f t="shared" ref="H11:H16" si="8">COUNTIF($C$26:$E$60,F11)</f>
        <v>0</v>
      </c>
      <c r="I11" s="116">
        <f t="shared" ref="I11:I16" si="9">COUNTIF($G$26:$I$60,F11)</f>
        <v>0</v>
      </c>
      <c r="J11" s="116">
        <f t="shared" ref="J11:J16" si="10">COUNTIF($O$26:$Q$60,F11)</f>
        <v>0</v>
      </c>
      <c r="K11" s="116">
        <f t="shared" ref="K11:K16" si="11">COUNTIF($S$26:$U$60,F11)</f>
        <v>0</v>
      </c>
      <c r="L11" s="116">
        <f t="shared" si="5"/>
        <v>0</v>
      </c>
      <c r="M11" s="116">
        <f t="shared" si="6"/>
        <v>30</v>
      </c>
      <c r="N11" s="6"/>
      <c r="O11"/>
      <c r="P11"/>
    </row>
    <row r="12" spans="3:22" x14ac:dyDescent="0.25">
      <c r="C12" s="134" t="s">
        <v>4</v>
      </c>
      <c r="D12" s="122" t="s">
        <v>51</v>
      </c>
      <c r="F12" s="66" t="s">
        <v>28</v>
      </c>
      <c r="G12" s="77" t="str">
        <f t="shared" si="7"/>
        <v>THAIS</v>
      </c>
      <c r="H12" s="116">
        <f t="shared" si="8"/>
        <v>0</v>
      </c>
      <c r="I12" s="116">
        <f t="shared" si="9"/>
        <v>0</v>
      </c>
      <c r="J12" s="116">
        <f t="shared" si="10"/>
        <v>0</v>
      </c>
      <c r="K12" s="116">
        <f t="shared" si="11"/>
        <v>0</v>
      </c>
      <c r="L12" s="116">
        <f t="shared" si="5"/>
        <v>0</v>
      </c>
      <c r="M12" s="116">
        <f t="shared" si="6"/>
        <v>30</v>
      </c>
      <c r="N12" s="6"/>
      <c r="O12" s="6"/>
      <c r="P12" s="6"/>
      <c r="Q12" s="6"/>
      <c r="R12" s="6"/>
      <c r="S12" s="6"/>
    </row>
    <row r="13" spans="3:22" x14ac:dyDescent="0.25">
      <c r="C13" s="134" t="s">
        <v>28</v>
      </c>
      <c r="D13" s="122" t="s">
        <v>67</v>
      </c>
      <c r="F13" s="66" t="s">
        <v>6</v>
      </c>
      <c r="G13" s="77" t="str">
        <f t="shared" si="7"/>
        <v>FELIPE</v>
      </c>
      <c r="H13" s="116">
        <f t="shared" si="8"/>
        <v>0</v>
      </c>
      <c r="I13" s="116">
        <f t="shared" si="9"/>
        <v>0</v>
      </c>
      <c r="J13" s="116">
        <f t="shared" si="10"/>
        <v>0</v>
      </c>
      <c r="K13" s="116">
        <f t="shared" si="11"/>
        <v>0</v>
      </c>
      <c r="L13" s="116">
        <f t="shared" si="5"/>
        <v>0</v>
      </c>
      <c r="M13" s="116">
        <f t="shared" si="6"/>
        <v>30</v>
      </c>
      <c r="N13" s="6"/>
      <c r="O13" s="6"/>
      <c r="P13" s="6"/>
      <c r="Q13" s="6"/>
      <c r="R13" s="6"/>
      <c r="S13" s="6"/>
    </row>
    <row r="14" spans="3:22" x14ac:dyDescent="0.25">
      <c r="C14" s="134" t="s">
        <v>6</v>
      </c>
      <c r="D14" s="122" t="s">
        <v>96</v>
      </c>
      <c r="F14" s="66" t="s">
        <v>59</v>
      </c>
      <c r="G14" s="77" t="str">
        <f t="shared" si="7"/>
        <v>GUILHERME</v>
      </c>
      <c r="H14" s="116">
        <f t="shared" si="8"/>
        <v>0</v>
      </c>
      <c r="I14" s="116">
        <f t="shared" si="9"/>
        <v>0</v>
      </c>
      <c r="J14" s="116">
        <f t="shared" si="10"/>
        <v>0</v>
      </c>
      <c r="K14" s="116">
        <f t="shared" si="11"/>
        <v>0</v>
      </c>
      <c r="L14" s="116">
        <f t="shared" si="5"/>
        <v>0</v>
      </c>
      <c r="M14" s="116">
        <f t="shared" si="6"/>
        <v>30</v>
      </c>
      <c r="N14" s="6"/>
      <c r="O14" s="6"/>
      <c r="P14" s="6"/>
      <c r="Q14" s="6"/>
      <c r="R14" s="6"/>
      <c r="S14" s="6"/>
      <c r="T14" s="6"/>
      <c r="U14" s="117"/>
      <c r="V14" s="17"/>
    </row>
    <row r="15" spans="3:22" x14ac:dyDescent="0.25">
      <c r="C15" s="134" t="s">
        <v>59</v>
      </c>
      <c r="D15" s="122" t="s">
        <v>133</v>
      </c>
      <c r="F15" s="66" t="s">
        <v>95</v>
      </c>
      <c r="G15" s="77" t="str">
        <f t="shared" si="7"/>
        <v>RICHER</v>
      </c>
      <c r="H15" s="116">
        <f t="shared" si="8"/>
        <v>0</v>
      </c>
      <c r="I15" s="116">
        <f t="shared" si="9"/>
        <v>0</v>
      </c>
      <c r="J15" s="116">
        <f t="shared" si="10"/>
        <v>0</v>
      </c>
      <c r="K15" s="116">
        <f t="shared" si="11"/>
        <v>0</v>
      </c>
      <c r="L15" s="116">
        <f t="shared" si="5"/>
        <v>0</v>
      </c>
      <c r="M15" s="116">
        <f t="shared" si="6"/>
        <v>30</v>
      </c>
      <c r="N15" s="6"/>
      <c r="O15" s="6"/>
      <c r="P15" s="6"/>
      <c r="Q15" s="6"/>
      <c r="R15" s="6"/>
      <c r="S15" s="6"/>
      <c r="T15" s="6"/>
      <c r="U15" s="117"/>
      <c r="V15" s="17"/>
    </row>
    <row r="16" spans="3:22" x14ac:dyDescent="0.25">
      <c r="C16" s="135" t="s">
        <v>95</v>
      </c>
      <c r="D16" s="122" t="s">
        <v>100</v>
      </c>
      <c r="F16" s="66" t="s">
        <v>99</v>
      </c>
      <c r="G16" s="77">
        <f t="shared" si="7"/>
        <v>0</v>
      </c>
      <c r="H16" s="116">
        <f t="shared" si="8"/>
        <v>0</v>
      </c>
      <c r="I16" s="116">
        <f t="shared" si="9"/>
        <v>0</v>
      </c>
      <c r="J16" s="116">
        <f t="shared" si="10"/>
        <v>0</v>
      </c>
      <c r="K16" s="116">
        <f t="shared" si="11"/>
        <v>0</v>
      </c>
      <c r="L16" s="116">
        <f t="shared" si="5"/>
        <v>0</v>
      </c>
      <c r="M16" s="116">
        <f t="shared" si="6"/>
        <v>30</v>
      </c>
      <c r="N16" s="6"/>
      <c r="O16" s="6"/>
      <c r="P16" s="6"/>
      <c r="Q16" s="6"/>
      <c r="R16" s="6"/>
      <c r="S16" s="6"/>
      <c r="T16" s="6"/>
      <c r="U16" s="117"/>
      <c r="V16" s="17"/>
    </row>
    <row r="17" spans="1:22" ht="15.75" thickBot="1" x14ac:dyDescent="0.3">
      <c r="C17" s="136" t="s">
        <v>99</v>
      </c>
      <c r="D17" s="137"/>
      <c r="F17" s="138" t="s">
        <v>62</v>
      </c>
      <c r="G17" s="79" t="str">
        <f>D21</f>
        <v>TONINHO</v>
      </c>
      <c r="H17" s="139" t="s">
        <v>68</v>
      </c>
      <c r="I17" s="139">
        <f>COUNTIF($G$26:$K$60,F17)</f>
        <v>0</v>
      </c>
      <c r="J17" s="139">
        <f>COUNTIF($M$26:$Q$61,F17)</f>
        <v>0</v>
      </c>
      <c r="K17" s="139" t="s">
        <v>68</v>
      </c>
      <c r="L17" s="139">
        <f t="shared" si="5"/>
        <v>0</v>
      </c>
      <c r="M17" s="139">
        <f t="shared" si="6"/>
        <v>30</v>
      </c>
      <c r="N17" s="6"/>
      <c r="O17" s="6"/>
      <c r="P17" s="6"/>
      <c r="Q17" s="6"/>
      <c r="R17" s="6"/>
      <c r="S17" s="6"/>
      <c r="T17" s="6"/>
      <c r="U17" s="117"/>
      <c r="V17" s="17"/>
    </row>
    <row r="18" spans="1:22" ht="15.75" thickBot="1" x14ac:dyDescent="0.3">
      <c r="C18" s="140" t="s">
        <v>19</v>
      </c>
      <c r="D18" s="141"/>
      <c r="E18" s="27"/>
      <c r="F18" s="138" t="s">
        <v>63</v>
      </c>
      <c r="G18" s="79" t="str">
        <f>D22</f>
        <v>CLEITON</v>
      </c>
      <c r="H18" s="139" t="s">
        <v>68</v>
      </c>
      <c r="I18" s="139">
        <f>COUNTIF($G$26:$K$60,F18)</f>
        <v>0</v>
      </c>
      <c r="J18" s="139">
        <f>COUNTIF($M$26:$Q$61,F18)</f>
        <v>0</v>
      </c>
      <c r="K18" s="139" t="s">
        <v>68</v>
      </c>
      <c r="L18" s="139">
        <f t="shared" si="5"/>
        <v>0</v>
      </c>
      <c r="M18" s="139">
        <f t="shared" si="6"/>
        <v>30</v>
      </c>
      <c r="N18" s="6"/>
      <c r="O18" s="6"/>
      <c r="P18" s="6"/>
      <c r="Q18" s="6"/>
      <c r="R18" s="6"/>
      <c r="S18" s="6"/>
      <c r="T18" s="6"/>
      <c r="U18" s="117"/>
      <c r="V18" s="17"/>
    </row>
    <row r="19" spans="1:22" ht="15.75" thickBot="1" x14ac:dyDescent="0.3">
      <c r="C19" s="142" t="s">
        <v>66</v>
      </c>
      <c r="D19" s="143"/>
      <c r="E19" s="27"/>
      <c r="F19" s="27"/>
      <c r="G19" s="27"/>
      <c r="H19" s="27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117"/>
      <c r="V19" s="17"/>
    </row>
    <row r="20" spans="1:22" ht="15.75" thickBot="1" x14ac:dyDescent="0.3">
      <c r="C20" s="140" t="s">
        <v>24</v>
      </c>
      <c r="D20" s="144"/>
      <c r="E20" s="27"/>
      <c r="F20" s="27"/>
      <c r="G20" s="27"/>
      <c r="H20" s="27"/>
      <c r="I20" s="6"/>
      <c r="J20" s="6"/>
      <c r="K20" s="6"/>
      <c r="L20" s="6"/>
      <c r="M20" s="6" t="s">
        <v>97</v>
      </c>
      <c r="N20" s="6"/>
      <c r="O20" s="6"/>
      <c r="P20" s="6"/>
      <c r="Q20" s="6"/>
      <c r="R20" s="6"/>
      <c r="S20" s="6"/>
      <c r="T20" s="6"/>
      <c r="U20" s="117"/>
      <c r="V20" s="17"/>
    </row>
    <row r="21" spans="1:22" x14ac:dyDescent="0.25">
      <c r="C21" s="145" t="s">
        <v>62</v>
      </c>
      <c r="D21" s="146" t="s">
        <v>64</v>
      </c>
      <c r="E21" s="27"/>
      <c r="F21" s="27"/>
      <c r="G21" s="27"/>
      <c r="H21" s="27"/>
      <c r="I21" s="6"/>
      <c r="J21" s="6"/>
      <c r="K21" s="6"/>
      <c r="L21" s="6"/>
      <c r="M21" s="6">
        <v>30</v>
      </c>
      <c r="N21" s="6"/>
      <c r="O21" s="6"/>
      <c r="P21" s="6"/>
      <c r="Q21" s="6"/>
      <c r="R21" s="6"/>
      <c r="S21" s="6"/>
      <c r="T21" s="6"/>
      <c r="U21" s="117"/>
      <c r="V21" s="17"/>
    </row>
    <row r="22" spans="1:22" ht="15.75" thickBot="1" x14ac:dyDescent="0.3">
      <c r="C22" s="147" t="s">
        <v>63</v>
      </c>
      <c r="D22" s="148" t="s">
        <v>65</v>
      </c>
      <c r="E22" s="27"/>
      <c r="F22" s="27"/>
      <c r="G22" s="27"/>
      <c r="H22" s="27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117"/>
      <c r="V22" s="17"/>
    </row>
    <row r="23" spans="1:22" x14ac:dyDescent="0.25">
      <c r="C23" s="125"/>
      <c r="D23" s="125"/>
      <c r="E23" s="27"/>
      <c r="F23" s="27"/>
      <c r="G23" s="27"/>
      <c r="H23" s="27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117"/>
      <c r="V23" s="17"/>
    </row>
    <row r="24" spans="1:22" x14ac:dyDescent="0.25">
      <c r="C24" s="125"/>
      <c r="D24" s="125"/>
      <c r="E24" s="27"/>
      <c r="F24" s="27"/>
      <c r="G24" s="27"/>
      <c r="H24" s="27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117"/>
      <c r="V24" s="17"/>
    </row>
    <row r="25" spans="1:22" x14ac:dyDescent="0.25">
      <c r="A25" s="149"/>
      <c r="B25" s="149"/>
      <c r="C25" s="150" t="s">
        <v>29</v>
      </c>
      <c r="D25" s="150" t="s">
        <v>41</v>
      </c>
      <c r="E25" s="150" t="s">
        <v>29</v>
      </c>
      <c r="F25" s="150" t="s">
        <v>41</v>
      </c>
      <c r="G25" s="150" t="s">
        <v>30</v>
      </c>
      <c r="H25" s="150" t="s">
        <v>41</v>
      </c>
      <c r="I25" s="150" t="s">
        <v>30</v>
      </c>
      <c r="J25" s="150" t="s">
        <v>41</v>
      </c>
      <c r="K25" s="150" t="s">
        <v>61</v>
      </c>
      <c r="L25" s="150" t="s">
        <v>41</v>
      </c>
      <c r="M25" s="150" t="s">
        <v>61</v>
      </c>
      <c r="N25" s="150" t="s">
        <v>41</v>
      </c>
      <c r="O25" s="151" t="s">
        <v>31</v>
      </c>
      <c r="P25" s="150" t="s">
        <v>41</v>
      </c>
      <c r="Q25" s="151" t="s">
        <v>31</v>
      </c>
      <c r="R25" s="150" t="s">
        <v>41</v>
      </c>
      <c r="S25" s="151" t="s">
        <v>40</v>
      </c>
      <c r="T25" s="150" t="s">
        <v>41</v>
      </c>
      <c r="U25" s="151" t="s">
        <v>40</v>
      </c>
      <c r="V25" s="150" t="s">
        <v>41</v>
      </c>
    </row>
    <row r="26" spans="1:22" s="152" customFormat="1" ht="15.75" x14ac:dyDescent="0.25">
      <c r="A26" s="86">
        <v>46113</v>
      </c>
      <c r="B26" s="68"/>
      <c r="C26" s="94"/>
      <c r="D26" s="85" t="e">
        <f t="shared" ref="D26:D56" si="12">VLOOKUP(C26,$C$3:$D$25,2,FALSE)</f>
        <v>#N/A</v>
      </c>
      <c r="E26" s="95"/>
      <c r="F26" s="83" t="e">
        <f t="shared" ref="F26:F56" si="13">VLOOKUP(E26,$C$3:$D$22,2,FALSE)</f>
        <v>#N/A</v>
      </c>
      <c r="G26" s="94"/>
      <c r="H26" s="83" t="e">
        <f t="shared" ref="H26:H56" si="14">VLOOKUP(G26,$C$3:$D$25,2,FALSE)</f>
        <v>#N/A</v>
      </c>
      <c r="I26" s="95"/>
      <c r="J26" s="83" t="e">
        <f t="shared" ref="J26:J56" si="15">VLOOKUP(I26,$C$3:$D$22,2,FALSE)</f>
        <v>#N/A</v>
      </c>
      <c r="K26" s="80"/>
      <c r="L26" s="84" t="e">
        <f t="shared" ref="L26:L56" si="16">VLOOKUP(K26,$C$3:$D$22,2,FALSE)</f>
        <v>#N/A</v>
      </c>
      <c r="M26" s="80"/>
      <c r="N26" s="69" t="e">
        <f t="shared" ref="N26:N56" si="17">VLOOKUP(M26,$C$3:$D$22,2,FALSE)</f>
        <v>#N/A</v>
      </c>
      <c r="O26" s="94"/>
      <c r="P26" s="85" t="e">
        <f t="shared" ref="P26:P56" si="18">VLOOKUP(O26,$C$3:$D$25,2,FALSE)</f>
        <v>#N/A</v>
      </c>
      <c r="Q26" s="95"/>
      <c r="R26" s="83" t="e">
        <f t="shared" ref="R26:R56" si="19">VLOOKUP(Q26,$C$3:$D$22,2,FALSE)</f>
        <v>#N/A</v>
      </c>
      <c r="S26" s="96"/>
      <c r="T26" s="85" t="e">
        <f t="shared" ref="T26:T56" si="20">VLOOKUP(S26,$C$3:$D$25,2,FALSE)</f>
        <v>#N/A</v>
      </c>
      <c r="U26" s="97"/>
      <c r="V26" s="85" t="e">
        <f t="shared" ref="V26:V56" si="21">VLOOKUP(U26,$C$3:$D$22,2,FALSE)</f>
        <v>#N/A</v>
      </c>
    </row>
    <row r="27" spans="1:22" ht="15.75" x14ac:dyDescent="0.25">
      <c r="A27" s="86">
        <f>A26+1</f>
        <v>46114</v>
      </c>
      <c r="B27" s="68"/>
      <c r="C27" s="94"/>
      <c r="D27" s="85" t="e">
        <f t="shared" si="12"/>
        <v>#N/A</v>
      </c>
      <c r="E27" s="95"/>
      <c r="F27" s="85" t="e">
        <f t="shared" si="13"/>
        <v>#N/A</v>
      </c>
      <c r="G27" s="94"/>
      <c r="H27" s="85" t="e">
        <f t="shared" si="14"/>
        <v>#N/A</v>
      </c>
      <c r="I27" s="95"/>
      <c r="J27" s="85" t="e">
        <f t="shared" si="15"/>
        <v>#N/A</v>
      </c>
      <c r="K27" s="80"/>
      <c r="L27" s="84" t="e">
        <f t="shared" si="16"/>
        <v>#N/A</v>
      </c>
      <c r="M27" s="80"/>
      <c r="N27" s="69" t="e">
        <f t="shared" si="17"/>
        <v>#N/A</v>
      </c>
      <c r="O27" s="94"/>
      <c r="P27" s="85" t="e">
        <f t="shared" si="18"/>
        <v>#N/A</v>
      </c>
      <c r="Q27" s="95"/>
      <c r="R27" s="85" t="e">
        <f t="shared" si="19"/>
        <v>#N/A</v>
      </c>
      <c r="S27" s="96"/>
      <c r="T27" s="85" t="e">
        <f t="shared" si="20"/>
        <v>#N/A</v>
      </c>
      <c r="U27" s="97"/>
      <c r="V27" s="85" t="e">
        <f t="shared" si="21"/>
        <v>#N/A</v>
      </c>
    </row>
    <row r="28" spans="1:22" ht="15.75" x14ac:dyDescent="0.25">
      <c r="A28" s="86">
        <f t="shared" ref="A28:A56" si="22">A27+1</f>
        <v>46115</v>
      </c>
      <c r="B28" s="68"/>
      <c r="C28" s="94"/>
      <c r="D28" s="85" t="e">
        <f t="shared" si="12"/>
        <v>#N/A</v>
      </c>
      <c r="E28" s="95"/>
      <c r="F28" s="85" t="e">
        <f t="shared" si="13"/>
        <v>#N/A</v>
      </c>
      <c r="G28" s="94"/>
      <c r="H28" s="85" t="e">
        <f t="shared" si="14"/>
        <v>#N/A</v>
      </c>
      <c r="I28" s="95"/>
      <c r="J28" s="85" t="e">
        <f t="shared" si="15"/>
        <v>#N/A</v>
      </c>
      <c r="K28" s="80"/>
      <c r="L28" s="84" t="e">
        <f t="shared" si="16"/>
        <v>#N/A</v>
      </c>
      <c r="M28" s="80"/>
      <c r="N28" s="69" t="e">
        <f t="shared" si="17"/>
        <v>#N/A</v>
      </c>
      <c r="O28" s="94"/>
      <c r="P28" s="85" t="e">
        <f t="shared" si="18"/>
        <v>#N/A</v>
      </c>
      <c r="Q28" s="95"/>
      <c r="R28" s="85" t="e">
        <f t="shared" si="19"/>
        <v>#N/A</v>
      </c>
      <c r="S28" s="96"/>
      <c r="T28" s="85" t="e">
        <f t="shared" si="20"/>
        <v>#N/A</v>
      </c>
      <c r="U28" s="97"/>
      <c r="V28" s="85" t="e">
        <f t="shared" si="21"/>
        <v>#N/A</v>
      </c>
    </row>
    <row r="29" spans="1:22" ht="15.75" x14ac:dyDescent="0.25">
      <c r="A29" s="86">
        <f t="shared" si="22"/>
        <v>46116</v>
      </c>
      <c r="B29" s="68"/>
      <c r="C29" s="94"/>
      <c r="D29" s="85" t="e">
        <f t="shared" si="12"/>
        <v>#N/A</v>
      </c>
      <c r="E29" s="95"/>
      <c r="F29" s="85" t="e">
        <f t="shared" si="13"/>
        <v>#N/A</v>
      </c>
      <c r="G29" s="94"/>
      <c r="H29" s="85" t="e">
        <f t="shared" si="14"/>
        <v>#N/A</v>
      </c>
      <c r="I29" s="95"/>
      <c r="J29" s="85" t="e">
        <f t="shared" si="15"/>
        <v>#N/A</v>
      </c>
      <c r="K29" s="81"/>
      <c r="L29" s="84" t="e">
        <f t="shared" si="16"/>
        <v>#N/A</v>
      </c>
      <c r="M29" s="81"/>
      <c r="N29" s="69" t="e">
        <f t="shared" si="17"/>
        <v>#N/A</v>
      </c>
      <c r="O29" s="94"/>
      <c r="P29" s="85" t="e">
        <f t="shared" si="18"/>
        <v>#N/A</v>
      </c>
      <c r="Q29" s="95"/>
      <c r="R29" s="85" t="e">
        <f t="shared" si="19"/>
        <v>#N/A</v>
      </c>
      <c r="S29" s="96"/>
      <c r="T29" s="85" t="e">
        <f t="shared" si="20"/>
        <v>#N/A</v>
      </c>
      <c r="U29" s="97"/>
      <c r="V29" s="85" t="e">
        <f t="shared" si="21"/>
        <v>#N/A</v>
      </c>
    </row>
    <row r="30" spans="1:22" ht="15.75" x14ac:dyDescent="0.25">
      <c r="A30" s="86">
        <f t="shared" si="22"/>
        <v>46117</v>
      </c>
      <c r="B30" s="68"/>
      <c r="C30" s="94"/>
      <c r="D30" s="85" t="e">
        <f t="shared" si="12"/>
        <v>#N/A</v>
      </c>
      <c r="E30" s="95"/>
      <c r="F30" s="85" t="e">
        <f t="shared" si="13"/>
        <v>#N/A</v>
      </c>
      <c r="G30" s="94"/>
      <c r="H30" s="85" t="e">
        <f t="shared" si="14"/>
        <v>#N/A</v>
      </c>
      <c r="I30" s="95"/>
      <c r="J30" s="85" t="e">
        <f t="shared" si="15"/>
        <v>#N/A</v>
      </c>
      <c r="K30" s="80"/>
      <c r="L30" s="84" t="e">
        <f t="shared" si="16"/>
        <v>#N/A</v>
      </c>
      <c r="M30" s="80"/>
      <c r="N30" s="69" t="e">
        <f t="shared" si="17"/>
        <v>#N/A</v>
      </c>
      <c r="O30" s="94"/>
      <c r="P30" s="85" t="e">
        <f t="shared" si="18"/>
        <v>#N/A</v>
      </c>
      <c r="Q30" s="95"/>
      <c r="R30" s="85" t="e">
        <f t="shared" si="19"/>
        <v>#N/A</v>
      </c>
      <c r="S30" s="96"/>
      <c r="T30" s="85" t="e">
        <f t="shared" si="20"/>
        <v>#N/A</v>
      </c>
      <c r="U30" s="97"/>
      <c r="V30" s="85" t="e">
        <f t="shared" si="21"/>
        <v>#N/A</v>
      </c>
    </row>
    <row r="31" spans="1:22" ht="15.75" x14ac:dyDescent="0.25">
      <c r="A31" s="86">
        <f t="shared" si="22"/>
        <v>46118</v>
      </c>
      <c r="B31" s="68"/>
      <c r="C31" s="94"/>
      <c r="D31" s="85" t="e">
        <f t="shared" si="12"/>
        <v>#N/A</v>
      </c>
      <c r="E31" s="95"/>
      <c r="F31" s="85" t="e">
        <f t="shared" si="13"/>
        <v>#N/A</v>
      </c>
      <c r="G31" s="94"/>
      <c r="H31" s="85" t="e">
        <f t="shared" si="14"/>
        <v>#N/A</v>
      </c>
      <c r="I31" s="95"/>
      <c r="J31" s="85" t="e">
        <f t="shared" si="15"/>
        <v>#N/A</v>
      </c>
      <c r="K31" s="81"/>
      <c r="L31" s="84" t="e">
        <f t="shared" si="16"/>
        <v>#N/A</v>
      </c>
      <c r="M31" s="81"/>
      <c r="N31" s="69" t="e">
        <f t="shared" si="17"/>
        <v>#N/A</v>
      </c>
      <c r="O31" s="94"/>
      <c r="P31" s="85" t="e">
        <f t="shared" si="18"/>
        <v>#N/A</v>
      </c>
      <c r="Q31" s="95"/>
      <c r="R31" s="85" t="e">
        <f t="shared" si="19"/>
        <v>#N/A</v>
      </c>
      <c r="S31" s="96"/>
      <c r="T31" s="85" t="e">
        <f t="shared" si="20"/>
        <v>#N/A</v>
      </c>
      <c r="U31" s="97"/>
      <c r="V31" s="85" t="e">
        <f t="shared" si="21"/>
        <v>#N/A</v>
      </c>
    </row>
    <row r="32" spans="1:22" ht="15.75" x14ac:dyDescent="0.25">
      <c r="A32" s="86">
        <f t="shared" si="22"/>
        <v>46119</v>
      </c>
      <c r="B32" s="68"/>
      <c r="C32" s="94"/>
      <c r="D32" s="85" t="e">
        <f t="shared" si="12"/>
        <v>#N/A</v>
      </c>
      <c r="E32" s="95"/>
      <c r="F32" s="85" t="e">
        <f t="shared" si="13"/>
        <v>#N/A</v>
      </c>
      <c r="G32" s="94"/>
      <c r="H32" s="174" t="e">
        <f t="shared" si="14"/>
        <v>#N/A</v>
      </c>
      <c r="I32" s="95"/>
      <c r="J32" s="85" t="e">
        <f t="shared" si="15"/>
        <v>#N/A</v>
      </c>
      <c r="K32" s="80"/>
      <c r="L32" s="84" t="e">
        <f t="shared" si="16"/>
        <v>#N/A</v>
      </c>
      <c r="M32" s="80"/>
      <c r="N32" s="69" t="e">
        <f t="shared" si="17"/>
        <v>#N/A</v>
      </c>
      <c r="O32" s="94"/>
      <c r="P32" s="85" t="e">
        <f t="shared" si="18"/>
        <v>#N/A</v>
      </c>
      <c r="Q32" s="95"/>
      <c r="R32" s="85" t="e">
        <f t="shared" si="19"/>
        <v>#N/A</v>
      </c>
      <c r="S32" s="96"/>
      <c r="T32" s="85" t="e">
        <f t="shared" si="20"/>
        <v>#N/A</v>
      </c>
      <c r="U32" s="97"/>
      <c r="V32" s="85" t="e">
        <f t="shared" si="21"/>
        <v>#N/A</v>
      </c>
    </row>
    <row r="33" spans="1:22" ht="15.75" x14ac:dyDescent="0.25">
      <c r="A33" s="86">
        <f t="shared" si="22"/>
        <v>46120</v>
      </c>
      <c r="B33" s="68"/>
      <c r="C33" s="94"/>
      <c r="D33" s="85" t="e">
        <f t="shared" si="12"/>
        <v>#N/A</v>
      </c>
      <c r="E33" s="95"/>
      <c r="F33" s="85" t="e">
        <f t="shared" si="13"/>
        <v>#N/A</v>
      </c>
      <c r="G33" s="94"/>
      <c r="H33" s="174" t="e">
        <f t="shared" si="14"/>
        <v>#N/A</v>
      </c>
      <c r="I33" s="95"/>
      <c r="J33" s="85" t="e">
        <f t="shared" si="15"/>
        <v>#N/A</v>
      </c>
      <c r="K33" s="80"/>
      <c r="L33" s="84" t="e">
        <f t="shared" si="16"/>
        <v>#N/A</v>
      </c>
      <c r="M33" s="80"/>
      <c r="N33" s="69" t="e">
        <f t="shared" si="17"/>
        <v>#N/A</v>
      </c>
      <c r="O33" s="94"/>
      <c r="P33" s="85" t="e">
        <f t="shared" si="18"/>
        <v>#N/A</v>
      </c>
      <c r="Q33" s="95"/>
      <c r="R33" s="85" t="e">
        <f t="shared" si="19"/>
        <v>#N/A</v>
      </c>
      <c r="S33" s="96"/>
      <c r="T33" s="85" t="e">
        <f t="shared" si="20"/>
        <v>#N/A</v>
      </c>
      <c r="U33" s="97"/>
      <c r="V33" s="85" t="e">
        <f t="shared" si="21"/>
        <v>#N/A</v>
      </c>
    </row>
    <row r="34" spans="1:22" ht="15.75" x14ac:dyDescent="0.25">
      <c r="A34" s="86">
        <f t="shared" si="22"/>
        <v>46121</v>
      </c>
      <c r="B34" s="70"/>
      <c r="C34" s="94"/>
      <c r="D34" s="85" t="e">
        <f t="shared" si="12"/>
        <v>#N/A</v>
      </c>
      <c r="E34" s="95"/>
      <c r="F34" s="85" t="e">
        <f t="shared" si="13"/>
        <v>#N/A</v>
      </c>
      <c r="G34" s="94"/>
      <c r="H34" s="174" t="e">
        <f t="shared" si="14"/>
        <v>#N/A</v>
      </c>
      <c r="I34" s="95"/>
      <c r="J34" s="85" t="e">
        <f t="shared" si="15"/>
        <v>#N/A</v>
      </c>
      <c r="K34" s="80"/>
      <c r="L34" s="84" t="e">
        <f t="shared" si="16"/>
        <v>#N/A</v>
      </c>
      <c r="M34" s="80"/>
      <c r="N34" s="69" t="e">
        <f t="shared" si="17"/>
        <v>#N/A</v>
      </c>
      <c r="O34" s="94"/>
      <c r="P34" s="85" t="e">
        <f t="shared" si="18"/>
        <v>#N/A</v>
      </c>
      <c r="Q34" s="95"/>
      <c r="R34" s="85" t="e">
        <f t="shared" si="19"/>
        <v>#N/A</v>
      </c>
      <c r="S34" s="96"/>
      <c r="T34" s="85" t="e">
        <f t="shared" si="20"/>
        <v>#N/A</v>
      </c>
      <c r="U34" s="97"/>
      <c r="V34" s="85" t="e">
        <f t="shared" si="21"/>
        <v>#N/A</v>
      </c>
    </row>
    <row r="35" spans="1:22" s="157" customFormat="1" ht="15.75" x14ac:dyDescent="0.25">
      <c r="A35" s="86">
        <f t="shared" si="22"/>
        <v>46122</v>
      </c>
      <c r="B35" s="70"/>
      <c r="C35" s="94"/>
      <c r="D35" s="85" t="e">
        <f t="shared" si="12"/>
        <v>#N/A</v>
      </c>
      <c r="E35" s="95"/>
      <c r="F35" s="85" t="e">
        <f t="shared" si="13"/>
        <v>#N/A</v>
      </c>
      <c r="G35" s="94"/>
      <c r="H35" s="174" t="e">
        <f t="shared" si="14"/>
        <v>#N/A</v>
      </c>
      <c r="I35" s="95"/>
      <c r="J35" s="85" t="e">
        <f t="shared" si="15"/>
        <v>#N/A</v>
      </c>
      <c r="K35" s="80"/>
      <c r="L35" s="84" t="e">
        <f t="shared" si="16"/>
        <v>#N/A</v>
      </c>
      <c r="M35" s="80"/>
      <c r="N35" s="69" t="e">
        <f t="shared" si="17"/>
        <v>#N/A</v>
      </c>
      <c r="O35" s="94"/>
      <c r="P35" s="85" t="e">
        <f t="shared" si="18"/>
        <v>#N/A</v>
      </c>
      <c r="Q35" s="97"/>
      <c r="R35" s="85" t="e">
        <f t="shared" si="19"/>
        <v>#N/A</v>
      </c>
      <c r="S35" s="96"/>
      <c r="T35" s="174" t="e">
        <f t="shared" si="20"/>
        <v>#N/A</v>
      </c>
      <c r="U35" s="97"/>
      <c r="V35" s="85" t="e">
        <f t="shared" si="21"/>
        <v>#N/A</v>
      </c>
    </row>
    <row r="36" spans="1:22" ht="15.75" x14ac:dyDescent="0.25">
      <c r="A36" s="86">
        <f t="shared" si="22"/>
        <v>46123</v>
      </c>
      <c r="B36" s="68"/>
      <c r="C36" s="94"/>
      <c r="D36" s="85" t="e">
        <f t="shared" si="12"/>
        <v>#N/A</v>
      </c>
      <c r="E36" s="95"/>
      <c r="F36" s="85" t="e">
        <f t="shared" si="13"/>
        <v>#N/A</v>
      </c>
      <c r="G36" s="94"/>
      <c r="H36" s="174" t="e">
        <f t="shared" si="14"/>
        <v>#N/A</v>
      </c>
      <c r="I36" s="95"/>
      <c r="J36" s="85" t="e">
        <f t="shared" si="15"/>
        <v>#N/A</v>
      </c>
      <c r="K36" s="81"/>
      <c r="L36" s="84" t="e">
        <f t="shared" si="16"/>
        <v>#N/A</v>
      </c>
      <c r="M36" s="81"/>
      <c r="N36" s="69" t="e">
        <f t="shared" si="17"/>
        <v>#N/A</v>
      </c>
      <c r="O36" s="94"/>
      <c r="P36" s="85" t="e">
        <f t="shared" si="18"/>
        <v>#N/A</v>
      </c>
      <c r="Q36" s="97"/>
      <c r="R36" s="85" t="e">
        <f t="shared" si="19"/>
        <v>#N/A</v>
      </c>
      <c r="S36" s="96"/>
      <c r="T36" s="85" t="e">
        <f t="shared" si="20"/>
        <v>#N/A</v>
      </c>
      <c r="U36" s="97"/>
      <c r="V36" s="85" t="e">
        <f t="shared" si="21"/>
        <v>#N/A</v>
      </c>
    </row>
    <row r="37" spans="1:22" ht="15.75" x14ac:dyDescent="0.25">
      <c r="A37" s="86">
        <f t="shared" si="22"/>
        <v>46124</v>
      </c>
      <c r="B37" s="68"/>
      <c r="C37" s="94"/>
      <c r="D37" s="85" t="e">
        <f t="shared" si="12"/>
        <v>#N/A</v>
      </c>
      <c r="E37" s="95"/>
      <c r="F37" s="85" t="e">
        <f t="shared" si="13"/>
        <v>#N/A</v>
      </c>
      <c r="G37" s="94"/>
      <c r="H37" s="174" t="e">
        <f t="shared" si="14"/>
        <v>#N/A</v>
      </c>
      <c r="I37" s="95"/>
      <c r="J37" s="85" t="e">
        <f t="shared" si="15"/>
        <v>#N/A</v>
      </c>
      <c r="K37" s="80"/>
      <c r="L37" s="84" t="e">
        <f t="shared" si="16"/>
        <v>#N/A</v>
      </c>
      <c r="M37" s="80"/>
      <c r="N37" s="69" t="e">
        <f t="shared" si="17"/>
        <v>#N/A</v>
      </c>
      <c r="O37" s="94"/>
      <c r="P37" s="85" t="e">
        <f t="shared" si="18"/>
        <v>#N/A</v>
      </c>
      <c r="Q37" s="97"/>
      <c r="R37" s="85" t="e">
        <f t="shared" si="19"/>
        <v>#N/A</v>
      </c>
      <c r="S37" s="96"/>
      <c r="T37" s="85" t="e">
        <f t="shared" si="20"/>
        <v>#N/A</v>
      </c>
      <c r="U37" s="97"/>
      <c r="V37" s="85" t="e">
        <f t="shared" si="21"/>
        <v>#N/A</v>
      </c>
    </row>
    <row r="38" spans="1:22" ht="15.75" x14ac:dyDescent="0.25">
      <c r="A38" s="86">
        <f t="shared" si="22"/>
        <v>46125</v>
      </c>
      <c r="B38" s="68"/>
      <c r="C38" s="94"/>
      <c r="D38" s="85" t="e">
        <f t="shared" si="12"/>
        <v>#N/A</v>
      </c>
      <c r="E38" s="95"/>
      <c r="F38" s="85" t="e">
        <f t="shared" si="13"/>
        <v>#N/A</v>
      </c>
      <c r="G38" s="94"/>
      <c r="H38" s="174" t="e">
        <f t="shared" si="14"/>
        <v>#N/A</v>
      </c>
      <c r="I38" s="95"/>
      <c r="J38" s="85" t="e">
        <f t="shared" si="15"/>
        <v>#N/A</v>
      </c>
      <c r="K38" s="81"/>
      <c r="L38" s="84" t="e">
        <f t="shared" si="16"/>
        <v>#N/A</v>
      </c>
      <c r="M38" s="81"/>
      <c r="N38" s="69" t="e">
        <f t="shared" si="17"/>
        <v>#N/A</v>
      </c>
      <c r="O38" s="94"/>
      <c r="P38" s="85" t="e">
        <f t="shared" si="18"/>
        <v>#N/A</v>
      </c>
      <c r="Q38" s="97"/>
      <c r="R38" s="85" t="e">
        <f t="shared" si="19"/>
        <v>#N/A</v>
      </c>
      <c r="S38" s="96"/>
      <c r="T38" s="85" t="e">
        <f t="shared" si="20"/>
        <v>#N/A</v>
      </c>
      <c r="U38" s="97"/>
      <c r="V38" s="85" t="e">
        <f t="shared" si="21"/>
        <v>#N/A</v>
      </c>
    </row>
    <row r="39" spans="1:22" ht="15.75" x14ac:dyDescent="0.25">
      <c r="A39" s="86">
        <f t="shared" si="22"/>
        <v>46126</v>
      </c>
      <c r="B39" s="68"/>
      <c r="C39" s="94"/>
      <c r="D39" s="85" t="e">
        <f t="shared" si="12"/>
        <v>#N/A</v>
      </c>
      <c r="E39" s="95"/>
      <c r="F39" s="85" t="e">
        <f t="shared" si="13"/>
        <v>#N/A</v>
      </c>
      <c r="G39" s="94"/>
      <c r="H39" s="174" t="e">
        <f t="shared" si="14"/>
        <v>#N/A</v>
      </c>
      <c r="I39" s="95"/>
      <c r="J39" s="85" t="e">
        <f t="shared" si="15"/>
        <v>#N/A</v>
      </c>
      <c r="K39" s="80"/>
      <c r="L39" s="84" t="e">
        <f t="shared" si="16"/>
        <v>#N/A</v>
      </c>
      <c r="M39" s="80"/>
      <c r="N39" s="69" t="e">
        <f t="shared" si="17"/>
        <v>#N/A</v>
      </c>
      <c r="O39" s="94"/>
      <c r="P39" s="85" t="e">
        <f t="shared" si="18"/>
        <v>#N/A</v>
      </c>
      <c r="Q39" s="97"/>
      <c r="R39" s="85" t="e">
        <f t="shared" si="19"/>
        <v>#N/A</v>
      </c>
      <c r="S39" s="96"/>
      <c r="T39" s="85" t="e">
        <f t="shared" si="20"/>
        <v>#N/A</v>
      </c>
      <c r="U39" s="97"/>
      <c r="V39" s="85" t="e">
        <f t="shared" si="21"/>
        <v>#N/A</v>
      </c>
    </row>
    <row r="40" spans="1:22" ht="15.75" x14ac:dyDescent="0.25">
      <c r="A40" s="86">
        <f t="shared" si="22"/>
        <v>46127</v>
      </c>
      <c r="B40" s="68"/>
      <c r="C40" s="94"/>
      <c r="D40" s="85" t="e">
        <f t="shared" si="12"/>
        <v>#N/A</v>
      </c>
      <c r="E40" s="95"/>
      <c r="F40" s="85" t="e">
        <f t="shared" si="13"/>
        <v>#N/A</v>
      </c>
      <c r="G40" s="94"/>
      <c r="H40" s="174" t="e">
        <f t="shared" si="14"/>
        <v>#N/A</v>
      </c>
      <c r="I40" s="95"/>
      <c r="J40" s="174" t="e">
        <f t="shared" si="15"/>
        <v>#N/A</v>
      </c>
      <c r="K40" s="80"/>
      <c r="L40" s="84" t="e">
        <f t="shared" si="16"/>
        <v>#N/A</v>
      </c>
      <c r="M40" s="80"/>
      <c r="N40" s="69" t="e">
        <f t="shared" si="17"/>
        <v>#N/A</v>
      </c>
      <c r="O40" s="94"/>
      <c r="P40" s="85" t="e">
        <f t="shared" si="18"/>
        <v>#N/A</v>
      </c>
      <c r="Q40" s="97"/>
      <c r="R40" s="85" t="e">
        <f t="shared" si="19"/>
        <v>#N/A</v>
      </c>
      <c r="S40" s="96"/>
      <c r="T40" s="85" t="e">
        <f t="shared" si="20"/>
        <v>#N/A</v>
      </c>
      <c r="U40" s="97"/>
      <c r="V40" s="71" t="e">
        <f t="shared" si="21"/>
        <v>#N/A</v>
      </c>
    </row>
    <row r="41" spans="1:22" ht="15.75" x14ac:dyDescent="0.25">
      <c r="A41" s="86">
        <f t="shared" si="22"/>
        <v>46128</v>
      </c>
      <c r="B41" s="70"/>
      <c r="C41" s="94"/>
      <c r="D41" s="85" t="e">
        <f t="shared" si="12"/>
        <v>#N/A</v>
      </c>
      <c r="E41" s="95"/>
      <c r="F41" s="85" t="e">
        <f t="shared" si="13"/>
        <v>#N/A</v>
      </c>
      <c r="G41" s="94"/>
      <c r="H41" s="174" t="e">
        <f t="shared" si="14"/>
        <v>#N/A</v>
      </c>
      <c r="I41" s="95"/>
      <c r="J41" s="174" t="e">
        <f t="shared" si="15"/>
        <v>#N/A</v>
      </c>
      <c r="K41" s="80"/>
      <c r="L41" s="84" t="e">
        <f t="shared" si="16"/>
        <v>#N/A</v>
      </c>
      <c r="M41" s="80"/>
      <c r="N41" s="69" t="e">
        <f t="shared" si="17"/>
        <v>#N/A</v>
      </c>
      <c r="O41" s="94"/>
      <c r="P41" s="85" t="e">
        <f t="shared" si="18"/>
        <v>#N/A</v>
      </c>
      <c r="Q41" s="97"/>
      <c r="R41" s="85" t="e">
        <f t="shared" si="19"/>
        <v>#N/A</v>
      </c>
      <c r="S41" s="96"/>
      <c r="T41" s="85" t="e">
        <f t="shared" si="20"/>
        <v>#N/A</v>
      </c>
      <c r="U41" s="97"/>
      <c r="V41" s="71" t="e">
        <f t="shared" si="21"/>
        <v>#N/A</v>
      </c>
    </row>
    <row r="42" spans="1:22" ht="15.75" x14ac:dyDescent="0.25">
      <c r="A42" s="86">
        <f t="shared" si="22"/>
        <v>46129</v>
      </c>
      <c r="B42" s="70"/>
      <c r="C42" s="94"/>
      <c r="D42" s="174" t="e">
        <f t="shared" si="12"/>
        <v>#N/A</v>
      </c>
      <c r="E42" s="95"/>
      <c r="F42" s="85" t="e">
        <f t="shared" si="13"/>
        <v>#N/A</v>
      </c>
      <c r="G42" s="94"/>
      <c r="H42" s="174" t="e">
        <f t="shared" si="14"/>
        <v>#N/A</v>
      </c>
      <c r="I42" s="97"/>
      <c r="J42" s="174" t="e">
        <f t="shared" si="15"/>
        <v>#N/A</v>
      </c>
      <c r="K42" s="80"/>
      <c r="L42" s="84" t="e">
        <f t="shared" si="16"/>
        <v>#N/A</v>
      </c>
      <c r="M42" s="80"/>
      <c r="N42" s="69" t="e">
        <f t="shared" si="17"/>
        <v>#N/A</v>
      </c>
      <c r="O42" s="94"/>
      <c r="P42" s="85" t="e">
        <f t="shared" si="18"/>
        <v>#N/A</v>
      </c>
      <c r="Q42" s="97"/>
      <c r="R42" s="71" t="e">
        <f t="shared" si="19"/>
        <v>#N/A</v>
      </c>
      <c r="S42" s="96"/>
      <c r="T42" s="85" t="e">
        <f t="shared" si="20"/>
        <v>#N/A</v>
      </c>
      <c r="U42" s="97"/>
      <c r="V42" s="71" t="e">
        <f t="shared" si="21"/>
        <v>#N/A</v>
      </c>
    </row>
    <row r="43" spans="1:22" ht="15.75" x14ac:dyDescent="0.25">
      <c r="A43" s="86">
        <f t="shared" si="22"/>
        <v>46130</v>
      </c>
      <c r="B43" s="68"/>
      <c r="C43" s="94"/>
      <c r="D43" s="174" t="e">
        <f t="shared" si="12"/>
        <v>#N/A</v>
      </c>
      <c r="E43" s="95"/>
      <c r="F43" s="85" t="e">
        <f t="shared" si="13"/>
        <v>#N/A</v>
      </c>
      <c r="G43" s="94"/>
      <c r="H43" s="174" t="e">
        <f t="shared" si="14"/>
        <v>#N/A</v>
      </c>
      <c r="I43" s="97"/>
      <c r="J43" s="174" t="e">
        <f t="shared" si="15"/>
        <v>#N/A</v>
      </c>
      <c r="K43" s="81"/>
      <c r="L43" s="84" t="e">
        <f t="shared" si="16"/>
        <v>#N/A</v>
      </c>
      <c r="M43" s="81"/>
      <c r="N43" s="69" t="e">
        <f t="shared" si="17"/>
        <v>#N/A</v>
      </c>
      <c r="O43" s="94"/>
      <c r="P43" s="85" t="e">
        <f t="shared" si="18"/>
        <v>#N/A</v>
      </c>
      <c r="Q43" s="97"/>
      <c r="R43" s="71" t="e">
        <f t="shared" si="19"/>
        <v>#N/A</v>
      </c>
      <c r="S43" s="96"/>
      <c r="T43" s="85" t="e">
        <f t="shared" si="20"/>
        <v>#N/A</v>
      </c>
      <c r="U43" s="97"/>
      <c r="V43" s="71" t="e">
        <f t="shared" si="21"/>
        <v>#N/A</v>
      </c>
    </row>
    <row r="44" spans="1:22" ht="15.75" x14ac:dyDescent="0.25">
      <c r="A44" s="86">
        <f t="shared" si="22"/>
        <v>46131</v>
      </c>
      <c r="B44" s="68"/>
      <c r="C44" s="94"/>
      <c r="D44" s="174" t="e">
        <f t="shared" si="12"/>
        <v>#N/A</v>
      </c>
      <c r="E44" s="95"/>
      <c r="F44" s="85" t="e">
        <f t="shared" si="13"/>
        <v>#N/A</v>
      </c>
      <c r="G44" s="94"/>
      <c r="H44" s="174" t="e">
        <f t="shared" si="14"/>
        <v>#N/A</v>
      </c>
      <c r="I44" s="97"/>
      <c r="J44" s="174" t="e">
        <f t="shared" si="15"/>
        <v>#N/A</v>
      </c>
      <c r="K44" s="80"/>
      <c r="L44" s="84" t="e">
        <f t="shared" si="16"/>
        <v>#N/A</v>
      </c>
      <c r="M44" s="80"/>
      <c r="N44" s="69" t="e">
        <f t="shared" si="17"/>
        <v>#N/A</v>
      </c>
      <c r="O44" s="94"/>
      <c r="P44" s="85" t="e">
        <f t="shared" si="18"/>
        <v>#N/A</v>
      </c>
      <c r="Q44" s="97"/>
      <c r="R44" s="71" t="e">
        <f t="shared" si="19"/>
        <v>#N/A</v>
      </c>
      <c r="S44" s="96"/>
      <c r="T44" s="85" t="e">
        <f t="shared" si="20"/>
        <v>#N/A</v>
      </c>
      <c r="U44" s="97"/>
      <c r="V44" s="71" t="e">
        <f t="shared" si="21"/>
        <v>#N/A</v>
      </c>
    </row>
    <row r="45" spans="1:22" ht="15.75" x14ac:dyDescent="0.25">
      <c r="A45" s="86">
        <f t="shared" si="22"/>
        <v>46132</v>
      </c>
      <c r="B45" s="68"/>
      <c r="C45" s="94"/>
      <c r="D45" s="174" t="e">
        <f t="shared" si="12"/>
        <v>#N/A</v>
      </c>
      <c r="E45" s="95"/>
      <c r="F45" s="85" t="e">
        <f t="shared" si="13"/>
        <v>#N/A</v>
      </c>
      <c r="G45" s="94"/>
      <c r="H45" s="174" t="e">
        <f t="shared" si="14"/>
        <v>#N/A</v>
      </c>
      <c r="I45" s="97"/>
      <c r="J45" s="174" t="e">
        <f t="shared" si="15"/>
        <v>#N/A</v>
      </c>
      <c r="K45" s="81"/>
      <c r="L45" s="84" t="e">
        <f t="shared" si="16"/>
        <v>#N/A</v>
      </c>
      <c r="M45" s="81"/>
      <c r="N45" s="69" t="e">
        <f t="shared" si="17"/>
        <v>#N/A</v>
      </c>
      <c r="O45" s="94"/>
      <c r="P45" s="85" t="e">
        <f t="shared" si="18"/>
        <v>#N/A</v>
      </c>
      <c r="Q45" s="97"/>
      <c r="R45" s="71" t="e">
        <f t="shared" si="19"/>
        <v>#N/A</v>
      </c>
      <c r="S45" s="96"/>
      <c r="T45" s="85" t="e">
        <f t="shared" si="20"/>
        <v>#N/A</v>
      </c>
      <c r="U45" s="97"/>
      <c r="V45" s="71" t="e">
        <f t="shared" si="21"/>
        <v>#N/A</v>
      </c>
    </row>
    <row r="46" spans="1:22" ht="15.75" x14ac:dyDescent="0.25">
      <c r="A46" s="86">
        <f t="shared" si="22"/>
        <v>46133</v>
      </c>
      <c r="B46" s="68"/>
      <c r="C46" s="94"/>
      <c r="D46" s="174" t="e">
        <f t="shared" si="12"/>
        <v>#N/A</v>
      </c>
      <c r="E46" s="95"/>
      <c r="F46" s="85" t="e">
        <f t="shared" si="13"/>
        <v>#N/A</v>
      </c>
      <c r="G46" s="94"/>
      <c r="H46" s="174" t="e">
        <f t="shared" si="14"/>
        <v>#N/A</v>
      </c>
      <c r="I46" s="97"/>
      <c r="J46" s="174" t="e">
        <f t="shared" si="15"/>
        <v>#N/A</v>
      </c>
      <c r="K46" s="80"/>
      <c r="L46" s="84" t="e">
        <f t="shared" si="16"/>
        <v>#N/A</v>
      </c>
      <c r="M46" s="80"/>
      <c r="N46" s="69" t="e">
        <f t="shared" si="17"/>
        <v>#N/A</v>
      </c>
      <c r="O46" s="94"/>
      <c r="P46" s="85" t="e">
        <f t="shared" si="18"/>
        <v>#N/A</v>
      </c>
      <c r="Q46" s="97"/>
      <c r="R46" s="71" t="e">
        <f t="shared" si="19"/>
        <v>#N/A</v>
      </c>
      <c r="S46" s="96"/>
      <c r="T46" s="85" t="e">
        <f t="shared" si="20"/>
        <v>#N/A</v>
      </c>
      <c r="U46" s="97"/>
      <c r="V46" s="85" t="e">
        <f t="shared" si="21"/>
        <v>#N/A</v>
      </c>
    </row>
    <row r="47" spans="1:22" ht="15.75" x14ac:dyDescent="0.25">
      <c r="A47" s="86">
        <f t="shared" si="22"/>
        <v>46134</v>
      </c>
      <c r="B47" s="68"/>
      <c r="C47" s="94"/>
      <c r="D47" s="174" t="e">
        <f t="shared" si="12"/>
        <v>#N/A</v>
      </c>
      <c r="E47" s="95"/>
      <c r="F47" s="85" t="e">
        <f t="shared" si="13"/>
        <v>#N/A</v>
      </c>
      <c r="G47" s="94"/>
      <c r="H47" s="174" t="e">
        <f t="shared" si="14"/>
        <v>#N/A</v>
      </c>
      <c r="I47" s="97"/>
      <c r="J47" s="174" t="e">
        <f t="shared" si="15"/>
        <v>#N/A</v>
      </c>
      <c r="K47" s="80"/>
      <c r="L47" s="84" t="e">
        <f t="shared" si="16"/>
        <v>#N/A</v>
      </c>
      <c r="M47" s="80"/>
      <c r="N47" s="69" t="e">
        <f t="shared" si="17"/>
        <v>#N/A</v>
      </c>
      <c r="O47" s="94"/>
      <c r="P47" s="85" t="e">
        <f t="shared" si="18"/>
        <v>#N/A</v>
      </c>
      <c r="Q47" s="97"/>
      <c r="R47" s="71" t="e">
        <f t="shared" si="19"/>
        <v>#N/A</v>
      </c>
      <c r="S47" s="96"/>
      <c r="T47" s="85" t="e">
        <f t="shared" si="20"/>
        <v>#N/A</v>
      </c>
      <c r="U47" s="97"/>
      <c r="V47" s="85" t="e">
        <f t="shared" si="21"/>
        <v>#N/A</v>
      </c>
    </row>
    <row r="48" spans="1:22" ht="15.75" x14ac:dyDescent="0.25">
      <c r="A48" s="86">
        <f t="shared" si="22"/>
        <v>46135</v>
      </c>
      <c r="B48" s="70"/>
      <c r="C48" s="94"/>
      <c r="D48" s="174" t="e">
        <f t="shared" si="12"/>
        <v>#N/A</v>
      </c>
      <c r="E48" s="95"/>
      <c r="F48" s="83" t="e">
        <f t="shared" si="13"/>
        <v>#N/A</v>
      </c>
      <c r="G48" s="94"/>
      <c r="H48" s="174" t="e">
        <f t="shared" si="14"/>
        <v>#N/A</v>
      </c>
      <c r="I48" s="95"/>
      <c r="J48" s="174" t="e">
        <f t="shared" si="15"/>
        <v>#N/A</v>
      </c>
      <c r="K48" s="80"/>
      <c r="L48" s="84" t="e">
        <f t="shared" si="16"/>
        <v>#N/A</v>
      </c>
      <c r="M48" s="80"/>
      <c r="N48" s="69" t="e">
        <f t="shared" si="17"/>
        <v>#N/A</v>
      </c>
      <c r="O48" s="94"/>
      <c r="P48" s="85" t="e">
        <f t="shared" si="18"/>
        <v>#N/A</v>
      </c>
      <c r="Q48" s="95"/>
      <c r="R48" s="71" t="e">
        <f t="shared" si="19"/>
        <v>#N/A</v>
      </c>
      <c r="S48" s="96"/>
      <c r="T48" s="85" t="e">
        <f t="shared" si="20"/>
        <v>#N/A</v>
      </c>
      <c r="U48" s="97"/>
      <c r="V48" s="85" t="e">
        <f t="shared" si="21"/>
        <v>#N/A</v>
      </c>
    </row>
    <row r="49" spans="1:22" ht="15.75" x14ac:dyDescent="0.25">
      <c r="A49" s="86">
        <f t="shared" si="22"/>
        <v>46136</v>
      </c>
      <c r="B49" s="70"/>
      <c r="C49" s="94"/>
      <c r="D49" s="174" t="e">
        <f t="shared" si="12"/>
        <v>#N/A</v>
      </c>
      <c r="E49" s="95"/>
      <c r="F49" s="85" t="e">
        <f t="shared" si="13"/>
        <v>#N/A</v>
      </c>
      <c r="G49" s="94"/>
      <c r="H49" s="174" t="e">
        <f t="shared" si="14"/>
        <v>#N/A</v>
      </c>
      <c r="I49" s="95"/>
      <c r="J49" s="174" t="e">
        <f t="shared" si="15"/>
        <v>#N/A</v>
      </c>
      <c r="K49" s="80"/>
      <c r="L49" s="84" t="e">
        <f t="shared" si="16"/>
        <v>#N/A</v>
      </c>
      <c r="M49" s="80"/>
      <c r="N49" s="69" t="e">
        <f t="shared" si="17"/>
        <v>#N/A</v>
      </c>
      <c r="O49" s="94"/>
      <c r="P49" s="85" t="e">
        <f t="shared" si="18"/>
        <v>#N/A</v>
      </c>
      <c r="Q49" s="95"/>
      <c r="R49" s="71" t="e">
        <f t="shared" si="19"/>
        <v>#N/A</v>
      </c>
      <c r="S49" s="96"/>
      <c r="T49" s="85" t="e">
        <f t="shared" si="20"/>
        <v>#N/A</v>
      </c>
      <c r="U49" s="97"/>
      <c r="V49" s="71" t="e">
        <f t="shared" si="21"/>
        <v>#N/A</v>
      </c>
    </row>
    <row r="50" spans="1:22" ht="15.75" x14ac:dyDescent="0.25">
      <c r="A50" s="86">
        <f t="shared" si="22"/>
        <v>46137</v>
      </c>
      <c r="B50" s="68"/>
      <c r="C50" s="94"/>
      <c r="D50" s="174" t="e">
        <f t="shared" si="12"/>
        <v>#N/A</v>
      </c>
      <c r="E50" s="95"/>
      <c r="F50" s="85" t="e">
        <f t="shared" si="13"/>
        <v>#N/A</v>
      </c>
      <c r="G50" s="94"/>
      <c r="H50" s="85" t="e">
        <f t="shared" si="14"/>
        <v>#N/A</v>
      </c>
      <c r="I50" s="95"/>
      <c r="J50" s="174" t="e">
        <f t="shared" si="15"/>
        <v>#N/A</v>
      </c>
      <c r="K50" s="81"/>
      <c r="L50" s="84" t="e">
        <f t="shared" si="16"/>
        <v>#N/A</v>
      </c>
      <c r="M50" s="81"/>
      <c r="N50" s="69" t="e">
        <f t="shared" si="17"/>
        <v>#N/A</v>
      </c>
      <c r="O50" s="94"/>
      <c r="P50" s="85" t="e">
        <f t="shared" si="18"/>
        <v>#N/A</v>
      </c>
      <c r="Q50" s="95"/>
      <c r="R50" s="71" t="e">
        <f t="shared" si="19"/>
        <v>#N/A</v>
      </c>
      <c r="S50" s="96"/>
      <c r="T50" s="85" t="e">
        <f t="shared" si="20"/>
        <v>#N/A</v>
      </c>
      <c r="U50" s="97"/>
      <c r="V50" s="71" t="e">
        <f t="shared" si="21"/>
        <v>#N/A</v>
      </c>
    </row>
    <row r="51" spans="1:22" ht="15.75" x14ac:dyDescent="0.25">
      <c r="A51" s="86">
        <f t="shared" si="22"/>
        <v>46138</v>
      </c>
      <c r="B51" s="68"/>
      <c r="C51" s="94"/>
      <c r="D51" s="85" t="e">
        <f t="shared" si="12"/>
        <v>#N/A</v>
      </c>
      <c r="E51" s="95"/>
      <c r="F51" s="71" t="e">
        <f t="shared" si="13"/>
        <v>#N/A</v>
      </c>
      <c r="G51" s="94"/>
      <c r="H51" s="85" t="e">
        <f t="shared" si="14"/>
        <v>#N/A</v>
      </c>
      <c r="I51" s="95"/>
      <c r="J51" s="174" t="e">
        <f t="shared" si="15"/>
        <v>#N/A</v>
      </c>
      <c r="K51" s="80"/>
      <c r="L51" s="84" t="e">
        <f t="shared" si="16"/>
        <v>#N/A</v>
      </c>
      <c r="M51" s="80"/>
      <c r="N51" s="69" t="e">
        <f t="shared" si="17"/>
        <v>#N/A</v>
      </c>
      <c r="O51" s="94"/>
      <c r="P51" s="85" t="e">
        <f t="shared" si="18"/>
        <v>#N/A</v>
      </c>
      <c r="Q51" s="95"/>
      <c r="R51" s="71" t="e">
        <f t="shared" si="19"/>
        <v>#N/A</v>
      </c>
      <c r="S51" s="96"/>
      <c r="T51" s="85" t="e">
        <f t="shared" si="20"/>
        <v>#N/A</v>
      </c>
      <c r="U51" s="97"/>
      <c r="V51" s="71" t="e">
        <f t="shared" si="21"/>
        <v>#N/A</v>
      </c>
    </row>
    <row r="52" spans="1:22" ht="15.75" x14ac:dyDescent="0.25">
      <c r="A52" s="86">
        <f t="shared" si="22"/>
        <v>46139</v>
      </c>
      <c r="B52" s="68"/>
      <c r="C52" s="94"/>
      <c r="D52" s="85" t="e">
        <f t="shared" si="12"/>
        <v>#N/A</v>
      </c>
      <c r="E52" s="95"/>
      <c r="F52" s="71" t="e">
        <f t="shared" si="13"/>
        <v>#N/A</v>
      </c>
      <c r="G52" s="94"/>
      <c r="H52" s="85" t="e">
        <f t="shared" si="14"/>
        <v>#N/A</v>
      </c>
      <c r="I52" s="95"/>
      <c r="J52" s="85" t="e">
        <f t="shared" si="15"/>
        <v>#N/A</v>
      </c>
      <c r="K52" s="81"/>
      <c r="L52" s="84" t="e">
        <f t="shared" si="16"/>
        <v>#N/A</v>
      </c>
      <c r="M52" s="81"/>
      <c r="N52" s="69" t="e">
        <f t="shared" si="17"/>
        <v>#N/A</v>
      </c>
      <c r="O52" s="94"/>
      <c r="P52" s="85" t="e">
        <f t="shared" si="18"/>
        <v>#N/A</v>
      </c>
      <c r="Q52" s="95"/>
      <c r="R52" s="71" t="e">
        <f t="shared" si="19"/>
        <v>#N/A</v>
      </c>
      <c r="S52" s="96"/>
      <c r="T52" s="85" t="e">
        <f t="shared" si="20"/>
        <v>#N/A</v>
      </c>
      <c r="U52" s="97"/>
      <c r="V52" s="71" t="e">
        <f t="shared" si="21"/>
        <v>#N/A</v>
      </c>
    </row>
    <row r="53" spans="1:22" ht="15.75" x14ac:dyDescent="0.25">
      <c r="A53" s="86">
        <f t="shared" si="22"/>
        <v>46140</v>
      </c>
      <c r="B53" s="68"/>
      <c r="C53" s="94"/>
      <c r="D53" s="85" t="e">
        <f t="shared" si="12"/>
        <v>#N/A</v>
      </c>
      <c r="E53" s="95"/>
      <c r="F53" s="71" t="e">
        <f t="shared" si="13"/>
        <v>#N/A</v>
      </c>
      <c r="G53" s="94"/>
      <c r="H53" s="85" t="e">
        <f t="shared" si="14"/>
        <v>#N/A</v>
      </c>
      <c r="I53" s="95"/>
      <c r="J53" s="85" t="e">
        <f t="shared" si="15"/>
        <v>#N/A</v>
      </c>
      <c r="K53" s="80"/>
      <c r="L53" s="84" t="e">
        <f t="shared" si="16"/>
        <v>#N/A</v>
      </c>
      <c r="M53" s="80"/>
      <c r="N53" s="69" t="e">
        <f t="shared" si="17"/>
        <v>#N/A</v>
      </c>
      <c r="O53" s="94"/>
      <c r="P53" s="85" t="e">
        <f t="shared" si="18"/>
        <v>#N/A</v>
      </c>
      <c r="Q53" s="95"/>
      <c r="R53" s="71" t="e">
        <f t="shared" si="19"/>
        <v>#N/A</v>
      </c>
      <c r="S53" s="96"/>
      <c r="T53" s="85" t="e">
        <f t="shared" si="20"/>
        <v>#N/A</v>
      </c>
      <c r="U53" s="97"/>
      <c r="V53" s="71" t="e">
        <f t="shared" si="21"/>
        <v>#N/A</v>
      </c>
    </row>
    <row r="54" spans="1:22" ht="15.75" x14ac:dyDescent="0.25">
      <c r="A54" s="86">
        <f t="shared" si="22"/>
        <v>46141</v>
      </c>
      <c r="B54" s="68"/>
      <c r="C54" s="94"/>
      <c r="D54" s="85" t="e">
        <f t="shared" si="12"/>
        <v>#N/A</v>
      </c>
      <c r="E54" s="97"/>
      <c r="F54" s="71" t="e">
        <f t="shared" si="13"/>
        <v>#N/A</v>
      </c>
      <c r="G54" s="94"/>
      <c r="H54" s="85" t="e">
        <f t="shared" si="14"/>
        <v>#N/A</v>
      </c>
      <c r="I54" s="97"/>
      <c r="J54" s="85" t="e">
        <f t="shared" si="15"/>
        <v>#N/A</v>
      </c>
      <c r="K54" s="80"/>
      <c r="L54" s="84" t="e">
        <f t="shared" si="16"/>
        <v>#N/A</v>
      </c>
      <c r="M54" s="80"/>
      <c r="N54" s="69" t="e">
        <f t="shared" si="17"/>
        <v>#N/A</v>
      </c>
      <c r="O54" s="94"/>
      <c r="P54" s="85" t="e">
        <f t="shared" si="18"/>
        <v>#N/A</v>
      </c>
      <c r="Q54" s="95"/>
      <c r="R54" s="85" t="e">
        <f t="shared" si="19"/>
        <v>#N/A</v>
      </c>
      <c r="S54" s="96"/>
      <c r="T54" s="85" t="e">
        <f t="shared" si="20"/>
        <v>#N/A</v>
      </c>
      <c r="U54" s="97"/>
      <c r="V54" s="85" t="e">
        <f t="shared" si="21"/>
        <v>#N/A</v>
      </c>
    </row>
    <row r="55" spans="1:22" ht="15.75" x14ac:dyDescent="0.25">
      <c r="A55" s="86">
        <f t="shared" si="22"/>
        <v>46142</v>
      </c>
      <c r="B55" s="68"/>
      <c r="C55" s="94"/>
      <c r="D55" s="85" t="e">
        <f t="shared" si="12"/>
        <v>#N/A</v>
      </c>
      <c r="E55" s="97"/>
      <c r="F55" s="71" t="e">
        <f t="shared" si="13"/>
        <v>#N/A</v>
      </c>
      <c r="G55" s="94"/>
      <c r="H55" s="85" t="e">
        <f t="shared" si="14"/>
        <v>#N/A</v>
      </c>
      <c r="I55" s="97"/>
      <c r="J55" s="85" t="e">
        <f t="shared" si="15"/>
        <v>#N/A</v>
      </c>
      <c r="K55" s="80"/>
      <c r="L55" s="84" t="e">
        <f t="shared" si="16"/>
        <v>#N/A</v>
      </c>
      <c r="M55" s="80"/>
      <c r="N55" s="69" t="e">
        <f t="shared" si="17"/>
        <v>#N/A</v>
      </c>
      <c r="O55" s="94"/>
      <c r="P55" s="85" t="e">
        <f t="shared" si="18"/>
        <v>#N/A</v>
      </c>
      <c r="Q55" s="95"/>
      <c r="R55" s="71" t="e">
        <f t="shared" si="19"/>
        <v>#N/A</v>
      </c>
      <c r="S55" s="96"/>
      <c r="T55" s="85" t="e">
        <f t="shared" si="20"/>
        <v>#N/A</v>
      </c>
      <c r="U55" s="97"/>
      <c r="V55" s="71" t="e">
        <f t="shared" si="21"/>
        <v>#N/A</v>
      </c>
    </row>
    <row r="56" spans="1:22" ht="15.75" x14ac:dyDescent="0.25">
      <c r="A56" s="86">
        <f t="shared" si="22"/>
        <v>46143</v>
      </c>
      <c r="C56" s="94"/>
      <c r="D56" s="85" t="e">
        <f t="shared" si="12"/>
        <v>#N/A</v>
      </c>
      <c r="E56" s="97"/>
      <c r="F56" s="71" t="e">
        <f t="shared" si="13"/>
        <v>#N/A</v>
      </c>
      <c r="G56" s="94"/>
      <c r="H56" s="85" t="e">
        <f t="shared" si="14"/>
        <v>#N/A</v>
      </c>
      <c r="I56" s="97"/>
      <c r="J56" s="85" t="e">
        <f t="shared" si="15"/>
        <v>#N/A</v>
      </c>
      <c r="K56" s="80"/>
      <c r="L56" s="84" t="e">
        <f t="shared" si="16"/>
        <v>#N/A</v>
      </c>
      <c r="M56" s="80"/>
      <c r="N56" s="69" t="e">
        <f t="shared" si="17"/>
        <v>#N/A</v>
      </c>
      <c r="O56" s="96"/>
      <c r="P56" s="85" t="e">
        <f t="shared" si="18"/>
        <v>#N/A</v>
      </c>
      <c r="Q56" s="95"/>
      <c r="R56" s="85" t="e">
        <f t="shared" si="19"/>
        <v>#N/A</v>
      </c>
      <c r="S56" s="96"/>
      <c r="T56" s="85" t="e">
        <f t="shared" si="20"/>
        <v>#N/A</v>
      </c>
      <c r="U56" s="97"/>
      <c r="V56" s="71" t="e">
        <f t="shared" si="21"/>
        <v>#N/A</v>
      </c>
    </row>
    <row r="57" spans="1:22" x14ac:dyDescent="0.25"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K58"/>
      <c r="L58"/>
      <c r="M58"/>
      <c r="N58"/>
      <c r="O58"/>
      <c r="Q58"/>
    </row>
    <row r="59" spans="1:22" x14ac:dyDescent="0.25">
      <c r="K59"/>
      <c r="L59"/>
      <c r="M59"/>
      <c r="N59"/>
      <c r="O59"/>
    </row>
    <row r="60" spans="1:22" x14ac:dyDescent="0.25">
      <c r="K60"/>
      <c r="L60"/>
      <c r="M60"/>
      <c r="N60"/>
      <c r="O60"/>
    </row>
    <row r="61" spans="1:22" x14ac:dyDescent="0.25">
      <c r="K61"/>
      <c r="O61"/>
    </row>
    <row r="62" spans="1:22" x14ac:dyDescent="0.25">
      <c r="O62"/>
    </row>
    <row r="63" spans="1:22" x14ac:dyDescent="0.25">
      <c r="O63"/>
    </row>
    <row r="64" spans="1:22" x14ac:dyDescent="0.25">
      <c r="O64"/>
    </row>
    <row r="65" spans="15:15" x14ac:dyDescent="0.25">
      <c r="O65"/>
    </row>
    <row r="66" spans="15:15" x14ac:dyDescent="0.25">
      <c r="O66"/>
    </row>
    <row r="67" spans="15:15" x14ac:dyDescent="0.25">
      <c r="O6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1" r:id="rId4" name="Button 1">
              <controlPr defaultSize="0" print="0" autoFill="0" autoPict="0" macro="[0]!Módulo6.APAGAESCALA">
                <anchor moveWithCells="1" sizeWithCells="1">
                  <from>
                    <xdr:col>14</xdr:col>
                    <xdr:colOff>76200</xdr:colOff>
                    <xdr:row>13</xdr:row>
                    <xdr:rowOff>152400</xdr:rowOff>
                  </from>
                  <to>
                    <xdr:col>15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B1:V43"/>
  <sheetViews>
    <sheetView showGridLines="0" topLeftCell="A10" zoomScaleNormal="100" workbookViewId="0">
      <selection activeCell="J12" sqref="J12:U42"/>
    </sheetView>
  </sheetViews>
  <sheetFormatPr defaultColWidth="9.140625" defaultRowHeight="15" x14ac:dyDescent="0.25"/>
  <cols>
    <col min="1" max="1" width="2.42578125" style="2" customWidth="1"/>
    <col min="2" max="2" width="11.5703125" bestFit="1" customWidth="1"/>
    <col min="3" max="3" width="12.5703125" style="2" customWidth="1"/>
    <col min="4" max="11" width="13.7109375" style="27" customWidth="1"/>
    <col min="12" max="12" width="4.7109375" style="2" customWidth="1"/>
    <col min="13" max="13" width="9.140625" style="2"/>
    <col min="14" max="14" width="14.5703125" style="2" bestFit="1" customWidth="1"/>
    <col min="15" max="17" width="9.140625" style="2"/>
    <col min="18" max="18" width="9.140625" style="2" customWidth="1"/>
    <col min="19" max="21" width="9.140625" style="2"/>
    <col min="22" max="22" width="9.140625" style="1"/>
    <col min="23" max="16384" width="9.140625" style="2"/>
  </cols>
  <sheetData>
    <row r="1" spans="3:22" x14ac:dyDescent="0.25">
      <c r="K1"/>
    </row>
    <row r="2" spans="3:22" ht="15" customHeight="1" x14ac:dyDescent="0.25">
      <c r="C2" s="191" t="s">
        <v>22</v>
      </c>
      <c r="D2" s="191"/>
      <c r="E2" s="191" t="s">
        <v>23</v>
      </c>
      <c r="F2" s="191"/>
      <c r="G2"/>
      <c r="H2"/>
      <c r="I2" s="2"/>
      <c r="J2" s="2"/>
      <c r="K2" s="2"/>
      <c r="S2" s="1"/>
      <c r="V2" s="2"/>
    </row>
    <row r="3" spans="3:22" ht="15" customHeight="1" x14ac:dyDescent="0.25">
      <c r="C3" s="67" t="s">
        <v>26</v>
      </c>
      <c r="D3" s="65" t="s">
        <v>20</v>
      </c>
      <c r="E3" s="66" t="s">
        <v>3</v>
      </c>
      <c r="F3" s="65" t="s">
        <v>2</v>
      </c>
      <c r="G3"/>
      <c r="H3" s="2"/>
      <c r="I3" s="2"/>
      <c r="J3" s="2"/>
      <c r="K3" s="2"/>
      <c r="R3" s="1"/>
      <c r="V3" s="2"/>
    </row>
    <row r="4" spans="3:22" ht="15" customHeight="1" x14ac:dyDescent="0.25">
      <c r="C4" s="67" t="s">
        <v>1</v>
      </c>
      <c r="D4" s="65" t="s">
        <v>21</v>
      </c>
      <c r="E4" s="66" t="s">
        <v>10</v>
      </c>
      <c r="F4" s="65" t="s">
        <v>7</v>
      </c>
      <c r="G4"/>
      <c r="H4" s="2"/>
      <c r="I4" s="2"/>
      <c r="J4" s="2"/>
      <c r="K4" s="2"/>
      <c r="R4" s="1"/>
      <c r="V4" s="2"/>
    </row>
    <row r="5" spans="3:22" x14ac:dyDescent="0.25">
      <c r="C5" s="67" t="s">
        <v>0</v>
      </c>
      <c r="D5" s="65" t="s">
        <v>5</v>
      </c>
      <c r="E5" s="66" t="s">
        <v>4</v>
      </c>
      <c r="F5" s="65" t="s">
        <v>69</v>
      </c>
      <c r="G5"/>
      <c r="H5" s="2"/>
      <c r="I5" s="2"/>
      <c r="J5" s="2"/>
      <c r="K5" s="2"/>
      <c r="R5" s="1"/>
      <c r="V5" s="2"/>
    </row>
    <row r="6" spans="3:22" x14ac:dyDescent="0.25">
      <c r="C6" s="67" t="s">
        <v>27</v>
      </c>
      <c r="D6" s="65" t="s">
        <v>9</v>
      </c>
      <c r="E6" s="66" t="s">
        <v>28</v>
      </c>
      <c r="F6" s="65" t="s">
        <v>25</v>
      </c>
      <c r="G6" s="87"/>
      <c r="H6" s="2"/>
      <c r="I6" s="2"/>
      <c r="J6" s="2"/>
      <c r="K6" s="2"/>
      <c r="R6" s="1"/>
      <c r="V6" s="2"/>
    </row>
    <row r="7" spans="3:22" x14ac:dyDescent="0.25">
      <c r="C7" s="67" t="s">
        <v>8</v>
      </c>
      <c r="D7" s="65" t="s">
        <v>11</v>
      </c>
      <c r="E7" s="66" t="s">
        <v>6</v>
      </c>
      <c r="F7" s="65" t="s">
        <v>70</v>
      </c>
      <c r="G7" s="87"/>
      <c r="H7" s="2"/>
      <c r="I7" s="2"/>
      <c r="J7" s="2"/>
      <c r="K7" s="2"/>
      <c r="R7" s="1"/>
      <c r="V7" s="2"/>
    </row>
    <row r="8" spans="3:22" x14ac:dyDescent="0.25">
      <c r="C8" s="67" t="s">
        <v>12</v>
      </c>
      <c r="D8" s="65" t="s">
        <v>13</v>
      </c>
      <c r="E8" s="66" t="s">
        <v>59</v>
      </c>
      <c r="F8" s="65" t="s">
        <v>71</v>
      </c>
      <c r="G8" s="6"/>
      <c r="H8" s="2"/>
      <c r="I8" s="2"/>
      <c r="J8" s="2"/>
      <c r="K8" s="2"/>
      <c r="R8" s="1"/>
      <c r="V8" s="2"/>
    </row>
    <row r="9" spans="3:22" x14ac:dyDescent="0.25">
      <c r="C9" s="3"/>
      <c r="D9" s="6"/>
      <c r="E9" s="6"/>
      <c r="H9" s="6"/>
      <c r="I9" s="6"/>
      <c r="J9" s="6"/>
      <c r="K9" s="6"/>
      <c r="V9" s="1" t="s">
        <v>60</v>
      </c>
    </row>
    <row r="10" spans="3:22" x14ac:dyDescent="0.25">
      <c r="C10" s="28"/>
      <c r="D10" s="29"/>
      <c r="E10" s="29"/>
      <c r="F10" s="29"/>
      <c r="G10" s="29"/>
      <c r="H10" s="29"/>
      <c r="I10" s="29"/>
      <c r="J10" s="29"/>
      <c r="K10" s="29"/>
    </row>
    <row r="11" spans="3:22" ht="15.75" customHeight="1" x14ac:dyDescent="0.25">
      <c r="C11" s="45" t="s">
        <v>39</v>
      </c>
      <c r="D11" s="46" t="s">
        <v>53</v>
      </c>
      <c r="E11" s="46" t="s">
        <v>53</v>
      </c>
      <c r="F11" s="46" t="s">
        <v>54</v>
      </c>
      <c r="G11" s="46" t="s">
        <v>54</v>
      </c>
      <c r="H11" s="46" t="s">
        <v>55</v>
      </c>
      <c r="I11" s="46" t="s">
        <v>55</v>
      </c>
      <c r="J11" s="46" t="s">
        <v>56</v>
      </c>
      <c r="K11" s="46" t="s">
        <v>56</v>
      </c>
    </row>
    <row r="12" spans="3:22" ht="15.75" x14ac:dyDescent="0.25">
      <c r="C12" s="88">
        <v>44470</v>
      </c>
      <c r="D12" s="39" t="s">
        <v>26</v>
      </c>
      <c r="E12" s="58" t="s">
        <v>3</v>
      </c>
      <c r="F12" s="40" t="s">
        <v>1</v>
      </c>
      <c r="G12" s="57" t="s">
        <v>10</v>
      </c>
      <c r="H12" s="40" t="s">
        <v>27</v>
      </c>
      <c r="I12" s="57" t="s">
        <v>28</v>
      </c>
      <c r="J12" s="40" t="s">
        <v>8</v>
      </c>
      <c r="K12" s="57" t="s">
        <v>6</v>
      </c>
      <c r="L12" s="30"/>
      <c r="M12" s="4" t="s">
        <v>44</v>
      </c>
      <c r="N12" s="4" t="s">
        <v>43</v>
      </c>
      <c r="O12" s="4" t="s">
        <v>15</v>
      </c>
      <c r="P12" s="4" t="s">
        <v>16</v>
      </c>
      <c r="Q12" s="4" t="s">
        <v>17</v>
      </c>
      <c r="R12" s="4" t="s">
        <v>18</v>
      </c>
      <c r="S12" s="4"/>
      <c r="T12" s="4"/>
      <c r="U12" s="4" t="s">
        <v>57</v>
      </c>
      <c r="V12" s="31" t="s">
        <v>58</v>
      </c>
    </row>
    <row r="13" spans="3:22" ht="15.75" x14ac:dyDescent="0.25">
      <c r="C13" s="88">
        <v>44471</v>
      </c>
      <c r="D13" s="39" t="s">
        <v>26</v>
      </c>
      <c r="E13" s="58" t="s">
        <v>3</v>
      </c>
      <c r="F13" s="40" t="s">
        <v>1</v>
      </c>
      <c r="G13" s="57" t="s">
        <v>4</v>
      </c>
      <c r="H13" s="40" t="s">
        <v>27</v>
      </c>
      <c r="I13" s="57" t="s">
        <v>28</v>
      </c>
      <c r="J13" s="40" t="s">
        <v>8</v>
      </c>
      <c r="K13" s="57" t="s">
        <v>6</v>
      </c>
      <c r="M13" s="47" t="s">
        <v>26</v>
      </c>
      <c r="N13" s="41" t="str">
        <f t="shared" ref="N13:N18" si="0">D3</f>
        <v>B.Selayaran</v>
      </c>
      <c r="O13" s="42">
        <f>COUNTIF($D$12:$D$42,"A")</f>
        <v>8</v>
      </c>
      <c r="P13" s="42">
        <f>COUNTIF($F$12:$F$42,"A")</f>
        <v>4</v>
      </c>
      <c r="Q13" s="42">
        <f>COUNTIF($H$12:$H$42,"A")</f>
        <v>4</v>
      </c>
      <c r="R13" s="42">
        <f>COUNTIF($J$12:$J$42,"A")</f>
        <v>5</v>
      </c>
      <c r="S13" s="43"/>
      <c r="T13" s="43"/>
      <c r="U13" s="43">
        <f t="shared" ref="U13:U23" si="1">SUM(O13:T13)</f>
        <v>21</v>
      </c>
      <c r="V13" s="42">
        <f>31-U13</f>
        <v>10</v>
      </c>
    </row>
    <row r="14" spans="3:22" ht="15.75" x14ac:dyDescent="0.25">
      <c r="C14" s="88">
        <v>44472</v>
      </c>
      <c r="D14" s="39" t="s">
        <v>26</v>
      </c>
      <c r="E14" s="58" t="s">
        <v>10</v>
      </c>
      <c r="F14" s="40" t="s">
        <v>0</v>
      </c>
      <c r="G14" s="57" t="s">
        <v>4</v>
      </c>
      <c r="H14" s="40" t="s">
        <v>27</v>
      </c>
      <c r="I14" s="57" t="s">
        <v>28</v>
      </c>
      <c r="J14" s="40" t="s">
        <v>12</v>
      </c>
      <c r="K14" s="57" t="s">
        <v>6</v>
      </c>
      <c r="L14" s="32"/>
      <c r="M14" s="48" t="s">
        <v>1</v>
      </c>
      <c r="N14" s="41" t="str">
        <f t="shared" si="0"/>
        <v>B.Hornes</v>
      </c>
      <c r="O14" s="42">
        <f>COUNTIF($D$12:$D$42,"B")</f>
        <v>7</v>
      </c>
      <c r="P14" s="42">
        <f>COUNTIF($F$12:$F$42,"B")</f>
        <v>6</v>
      </c>
      <c r="Q14" s="42">
        <f>COUNTIF($H$12:$H$42,"B")</f>
        <v>4</v>
      </c>
      <c r="R14" s="42">
        <f>COUNTIF($J$12:$J$42,"B")</f>
        <v>4</v>
      </c>
      <c r="S14" s="44"/>
      <c r="T14" s="44"/>
      <c r="U14" s="43">
        <f t="shared" si="1"/>
        <v>21</v>
      </c>
      <c r="V14" s="42">
        <f t="shared" ref="V14:V23" si="2">31-U14</f>
        <v>10</v>
      </c>
    </row>
    <row r="15" spans="3:22" ht="15.75" x14ac:dyDescent="0.25">
      <c r="C15" s="88">
        <v>44473</v>
      </c>
      <c r="D15" s="39" t="s">
        <v>26</v>
      </c>
      <c r="E15" s="58" t="s">
        <v>10</v>
      </c>
      <c r="F15" s="40" t="s">
        <v>0</v>
      </c>
      <c r="G15" s="57" t="s">
        <v>4</v>
      </c>
      <c r="H15" s="40" t="s">
        <v>27</v>
      </c>
      <c r="I15" s="57" t="s">
        <v>28</v>
      </c>
      <c r="J15" s="40" t="s">
        <v>12</v>
      </c>
      <c r="K15" s="57" t="s">
        <v>3</v>
      </c>
      <c r="L15" s="32"/>
      <c r="M15" s="48" t="s">
        <v>0</v>
      </c>
      <c r="N15" s="41" t="str">
        <f t="shared" si="0"/>
        <v>Allan</v>
      </c>
      <c r="O15" s="42">
        <f>COUNTIF($D$12:$D$42,"C")</f>
        <v>4</v>
      </c>
      <c r="P15" s="42">
        <f>COUNTIF($F$12:$F$42,"C")</f>
        <v>8</v>
      </c>
      <c r="Q15" s="42">
        <f>COUNTIF($H$12:$H$42,"C")</f>
        <v>4</v>
      </c>
      <c r="R15" s="42">
        <f>COUNTIF($J$12:$J$42,"C")</f>
        <v>4</v>
      </c>
      <c r="S15" s="44"/>
      <c r="T15" s="44"/>
      <c r="U15" s="43">
        <f t="shared" si="1"/>
        <v>20</v>
      </c>
      <c r="V15" s="42">
        <f t="shared" si="2"/>
        <v>11</v>
      </c>
    </row>
    <row r="16" spans="3:22" ht="15.75" x14ac:dyDescent="0.25">
      <c r="C16" s="88">
        <v>44474</v>
      </c>
      <c r="D16" s="39" t="s">
        <v>1</v>
      </c>
      <c r="E16" s="58" t="s">
        <v>10</v>
      </c>
      <c r="F16" s="40" t="s">
        <v>0</v>
      </c>
      <c r="G16" s="57" t="s">
        <v>4</v>
      </c>
      <c r="H16" s="40" t="s">
        <v>8</v>
      </c>
      <c r="I16" s="57" t="s">
        <v>6</v>
      </c>
      <c r="J16" s="40" t="s">
        <v>12</v>
      </c>
      <c r="K16" s="57" t="s">
        <v>3</v>
      </c>
      <c r="L16" s="32"/>
      <c r="M16" s="48" t="s">
        <v>27</v>
      </c>
      <c r="N16" s="41" t="str">
        <f t="shared" si="0"/>
        <v>Eduardo</v>
      </c>
      <c r="O16" s="42">
        <f>COUNTIF($D$12:$D$42,"D")</f>
        <v>4</v>
      </c>
      <c r="P16" s="42">
        <f>COUNTIF($F$12:$F$42,"D")</f>
        <v>5</v>
      </c>
      <c r="Q16" s="42">
        <f>COUNTIF($H$12:$H$42,"D")</f>
        <v>8</v>
      </c>
      <c r="R16" s="42">
        <f>COUNTIF($J$12:$J$42,"D")</f>
        <v>4</v>
      </c>
      <c r="S16" s="44"/>
      <c r="T16" s="44"/>
      <c r="U16" s="43">
        <f t="shared" si="1"/>
        <v>21</v>
      </c>
      <c r="V16" s="42">
        <f t="shared" si="2"/>
        <v>10</v>
      </c>
    </row>
    <row r="17" spans="3:22" ht="15.75" x14ac:dyDescent="0.25">
      <c r="C17" s="88">
        <v>44475</v>
      </c>
      <c r="D17" s="39" t="s">
        <v>1</v>
      </c>
      <c r="E17" s="58" t="s">
        <v>10</v>
      </c>
      <c r="F17" s="40" t="s">
        <v>0</v>
      </c>
      <c r="G17" s="57" t="s">
        <v>28</v>
      </c>
      <c r="H17" s="40" t="s">
        <v>8</v>
      </c>
      <c r="I17" s="57" t="s">
        <v>6</v>
      </c>
      <c r="J17" s="40" t="s">
        <v>12</v>
      </c>
      <c r="K17" s="57" t="s">
        <v>3</v>
      </c>
      <c r="L17" s="33"/>
      <c r="M17" s="48" t="s">
        <v>8</v>
      </c>
      <c r="N17" s="41" t="str">
        <f t="shared" si="0"/>
        <v>Marco</v>
      </c>
      <c r="O17" s="42">
        <f>COUNTIF($D$12:$D$42,"E")</f>
        <v>4</v>
      </c>
      <c r="P17" s="42">
        <f>COUNTIF($F$12:$F$42,"E")</f>
        <v>4</v>
      </c>
      <c r="Q17" s="42">
        <f>COUNTIF($H$12:$H$42,"E")</f>
        <v>7</v>
      </c>
      <c r="R17" s="42">
        <f>COUNTIF($J$12:$J$42,"E")</f>
        <v>6</v>
      </c>
      <c r="S17" s="44"/>
      <c r="T17" s="44"/>
      <c r="U17" s="43">
        <f t="shared" si="1"/>
        <v>21</v>
      </c>
      <c r="V17" s="42">
        <f t="shared" si="2"/>
        <v>10</v>
      </c>
    </row>
    <row r="18" spans="3:22" ht="15.75" x14ac:dyDescent="0.25">
      <c r="C18" s="88">
        <v>44476</v>
      </c>
      <c r="D18" s="39" t="s">
        <v>1</v>
      </c>
      <c r="E18" s="58" t="s">
        <v>4</v>
      </c>
      <c r="F18" s="40" t="s">
        <v>27</v>
      </c>
      <c r="G18" s="57" t="s">
        <v>28</v>
      </c>
      <c r="H18" s="40" t="s">
        <v>8</v>
      </c>
      <c r="I18" s="57" t="s">
        <v>6</v>
      </c>
      <c r="J18" s="40" t="s">
        <v>26</v>
      </c>
      <c r="K18" s="57" t="s">
        <v>3</v>
      </c>
      <c r="L18" s="32"/>
      <c r="M18" s="60" t="s">
        <v>12</v>
      </c>
      <c r="N18" s="61" t="str">
        <f t="shared" si="0"/>
        <v>Rodrigo</v>
      </c>
      <c r="O18" s="62">
        <f>COUNTIF($D$12:$D$42,"F")</f>
        <v>4</v>
      </c>
      <c r="P18" s="62">
        <f>COUNTIF($F$12:$F$42,"F")</f>
        <v>4</v>
      </c>
      <c r="Q18" s="62">
        <f>COUNTIF($H$12:$H$42,"F")</f>
        <v>4</v>
      </c>
      <c r="R18" s="62">
        <f>COUNTIF($J$12:$J$42,"F")</f>
        <v>8</v>
      </c>
      <c r="S18" s="63"/>
      <c r="T18" s="63"/>
      <c r="U18" s="64">
        <f t="shared" si="1"/>
        <v>20</v>
      </c>
      <c r="V18" s="62">
        <f t="shared" si="2"/>
        <v>11</v>
      </c>
    </row>
    <row r="19" spans="3:22" ht="15.75" x14ac:dyDescent="0.25">
      <c r="C19" s="88">
        <v>44477</v>
      </c>
      <c r="D19" s="39" t="s">
        <v>1</v>
      </c>
      <c r="E19" s="58" t="s">
        <v>4</v>
      </c>
      <c r="F19" s="40" t="s">
        <v>27</v>
      </c>
      <c r="G19" s="57" t="s">
        <v>28</v>
      </c>
      <c r="H19" s="40" t="s">
        <v>8</v>
      </c>
      <c r="I19" s="57" t="s">
        <v>6</v>
      </c>
      <c r="J19" s="40" t="s">
        <v>26</v>
      </c>
      <c r="K19" s="57" t="s">
        <v>10</v>
      </c>
      <c r="L19" s="32"/>
      <c r="M19" s="51" t="s">
        <v>3</v>
      </c>
      <c r="N19" s="59" t="str">
        <f t="shared" ref="N19:N24" si="3">F3</f>
        <v>Brancão</v>
      </c>
      <c r="O19" s="53">
        <f>COUNTIF($E$12:$E$42,"G")</f>
        <v>6</v>
      </c>
      <c r="P19" s="53">
        <f>COUNTIF($G$12:$G$42,"G")</f>
        <v>4</v>
      </c>
      <c r="Q19" s="53">
        <f>COUNTIF($I$12:$I$42,"G")</f>
        <v>7</v>
      </c>
      <c r="R19" s="53">
        <f>COUNTIF($K$12:$K$42,"G")</f>
        <v>8</v>
      </c>
      <c r="S19" s="52"/>
      <c r="T19" s="52"/>
      <c r="U19" s="54">
        <f t="shared" si="1"/>
        <v>25</v>
      </c>
      <c r="V19" s="53">
        <f t="shared" si="2"/>
        <v>6</v>
      </c>
    </row>
    <row r="20" spans="3:22" ht="15.75" x14ac:dyDescent="0.25">
      <c r="C20" s="88">
        <v>44478</v>
      </c>
      <c r="D20" s="39" t="s">
        <v>0</v>
      </c>
      <c r="E20" s="58" t="s">
        <v>4</v>
      </c>
      <c r="F20" s="40" t="s">
        <v>27</v>
      </c>
      <c r="G20" s="57" t="s">
        <v>28</v>
      </c>
      <c r="H20" s="40" t="s">
        <v>12</v>
      </c>
      <c r="I20" s="57" t="s">
        <v>3</v>
      </c>
      <c r="J20" s="40" t="s">
        <v>26</v>
      </c>
      <c r="K20" s="57" t="s">
        <v>10</v>
      </c>
      <c r="L20" s="32"/>
      <c r="M20" s="55" t="s">
        <v>10</v>
      </c>
      <c r="N20" s="59" t="str">
        <f t="shared" si="3"/>
        <v>Stephanie</v>
      </c>
      <c r="O20" s="53">
        <f>COUNTIF($E$12:$E$42,"H")</f>
        <v>8</v>
      </c>
      <c r="P20" s="53">
        <f>COUNTIF($G$12:$G$42,"H")</f>
        <v>5</v>
      </c>
      <c r="Q20" s="53">
        <f>COUNTIF($I$12:$I$42,"H")</f>
        <v>4</v>
      </c>
      <c r="R20" s="53">
        <f>COUNTIF($K$12:$K$42,"H")</f>
        <v>8</v>
      </c>
      <c r="S20" s="56"/>
      <c r="T20" s="56"/>
      <c r="U20" s="54">
        <f t="shared" si="1"/>
        <v>25</v>
      </c>
      <c r="V20" s="53">
        <f t="shared" si="2"/>
        <v>6</v>
      </c>
    </row>
    <row r="21" spans="3:22" ht="15.75" x14ac:dyDescent="0.25">
      <c r="C21" s="88">
        <v>44479</v>
      </c>
      <c r="D21" s="39" t="s">
        <v>0</v>
      </c>
      <c r="E21" s="58" t="s">
        <v>4</v>
      </c>
      <c r="F21" s="40" t="s">
        <v>27</v>
      </c>
      <c r="G21" s="57" t="s">
        <v>6</v>
      </c>
      <c r="H21" s="40" t="s">
        <v>12</v>
      </c>
      <c r="I21" s="57" t="s">
        <v>3</v>
      </c>
      <c r="J21" s="40" t="s">
        <v>26</v>
      </c>
      <c r="K21" s="57" t="s">
        <v>10</v>
      </c>
      <c r="L21" s="34"/>
      <c r="M21" s="55" t="s">
        <v>4</v>
      </c>
      <c r="N21" s="59" t="str">
        <f t="shared" si="3"/>
        <v>Flavia</v>
      </c>
      <c r="O21" s="53">
        <f>COUNTIF($E$12:$E$42,"I")</f>
        <v>8</v>
      </c>
      <c r="P21" s="53">
        <f>COUNTIF($G$12:$G$42,"I")</f>
        <v>8</v>
      </c>
      <c r="Q21" s="53">
        <f>COUNTIF($I$12:$I$42,"I")</f>
        <v>4</v>
      </c>
      <c r="R21" s="53">
        <f>COUNTIF($K$12:$K$42,"I")</f>
        <v>4</v>
      </c>
      <c r="S21" s="56"/>
      <c r="T21" s="56"/>
      <c r="U21" s="54">
        <f t="shared" si="1"/>
        <v>24</v>
      </c>
      <c r="V21" s="53">
        <f t="shared" si="2"/>
        <v>7</v>
      </c>
    </row>
    <row r="22" spans="3:22" ht="15.75" x14ac:dyDescent="0.25">
      <c r="C22" s="88">
        <v>44480</v>
      </c>
      <c r="D22" s="39" t="s">
        <v>0</v>
      </c>
      <c r="E22" s="58" t="s">
        <v>28</v>
      </c>
      <c r="F22" s="40" t="s">
        <v>8</v>
      </c>
      <c r="G22" s="57" t="s">
        <v>6</v>
      </c>
      <c r="H22" s="40" t="s">
        <v>12</v>
      </c>
      <c r="I22" s="57" t="s">
        <v>3</v>
      </c>
      <c r="J22" s="40" t="s">
        <v>1</v>
      </c>
      <c r="K22" s="57" t="s">
        <v>10</v>
      </c>
      <c r="L22" s="32"/>
      <c r="M22" s="55" t="s">
        <v>28</v>
      </c>
      <c r="N22" s="59" t="str">
        <f t="shared" si="3"/>
        <v>B.Machado</v>
      </c>
      <c r="O22" s="53">
        <f>COUNTIF($E$12:$E$42,"J")</f>
        <v>5</v>
      </c>
      <c r="P22" s="53">
        <f>COUNTIF($G$12:$G$42,"J")</f>
        <v>8</v>
      </c>
      <c r="Q22" s="53">
        <f>COUNTIF($I$12:$I$42,"J")</f>
        <v>8</v>
      </c>
      <c r="R22" s="53">
        <f>COUNTIF($K$12:$K$42,"J")</f>
        <v>4</v>
      </c>
      <c r="S22" s="56"/>
      <c r="T22" s="56"/>
      <c r="U22" s="54">
        <f t="shared" si="1"/>
        <v>25</v>
      </c>
      <c r="V22" s="53">
        <f t="shared" si="2"/>
        <v>6</v>
      </c>
    </row>
    <row r="23" spans="3:22" ht="15.75" x14ac:dyDescent="0.25">
      <c r="C23" s="88">
        <v>44481</v>
      </c>
      <c r="D23" s="39" t="s">
        <v>0</v>
      </c>
      <c r="E23" s="58" t="s">
        <v>28</v>
      </c>
      <c r="F23" s="40" t="s">
        <v>8</v>
      </c>
      <c r="G23" s="57" t="s">
        <v>6</v>
      </c>
      <c r="H23" s="40" t="s">
        <v>12</v>
      </c>
      <c r="I23" s="57" t="s">
        <v>3</v>
      </c>
      <c r="J23" s="40" t="s">
        <v>1</v>
      </c>
      <c r="K23" s="57" t="s">
        <v>4</v>
      </c>
      <c r="L23" s="33"/>
      <c r="M23" s="55" t="s">
        <v>6</v>
      </c>
      <c r="N23" s="59" t="str">
        <f t="shared" si="3"/>
        <v>Thais</v>
      </c>
      <c r="O23" s="53">
        <f>COUNTIF($E$12:$E$42,"K")</f>
        <v>4</v>
      </c>
      <c r="P23" s="53">
        <f>COUNTIF($G$12:$G$42,"K")</f>
        <v>6</v>
      </c>
      <c r="Q23" s="53">
        <f>COUNTIF($I$12:$I$42,"K")</f>
        <v>8</v>
      </c>
      <c r="R23" s="53">
        <f>COUNTIF($K$12:$K$42,"K")</f>
        <v>7</v>
      </c>
      <c r="S23" s="56"/>
      <c r="T23" s="56"/>
      <c r="U23" s="54">
        <f t="shared" si="1"/>
        <v>25</v>
      </c>
      <c r="V23" s="53">
        <f t="shared" si="2"/>
        <v>6</v>
      </c>
    </row>
    <row r="24" spans="3:22" ht="15.75" x14ac:dyDescent="0.25">
      <c r="C24" s="88">
        <v>44482</v>
      </c>
      <c r="D24" s="39" t="s">
        <v>27</v>
      </c>
      <c r="E24" s="58" t="s">
        <v>28</v>
      </c>
      <c r="F24" s="40" t="s">
        <v>8</v>
      </c>
      <c r="G24" s="57" t="s">
        <v>6</v>
      </c>
      <c r="H24" s="40" t="s">
        <v>26</v>
      </c>
      <c r="I24" s="57" t="s">
        <v>10</v>
      </c>
      <c r="J24" s="40" t="s">
        <v>1</v>
      </c>
      <c r="K24" s="57" t="s">
        <v>4</v>
      </c>
      <c r="L24" s="33"/>
      <c r="M24" s="73" t="s">
        <v>59</v>
      </c>
      <c r="N24" s="74" t="str">
        <f t="shared" si="3"/>
        <v>Bernardo</v>
      </c>
      <c r="O24" s="75"/>
      <c r="P24" s="62"/>
      <c r="Q24" s="62"/>
      <c r="R24" s="62"/>
      <c r="S24" s="76"/>
      <c r="T24" s="76"/>
      <c r="U24" s="64"/>
      <c r="V24" s="62"/>
    </row>
    <row r="25" spans="3:22" x14ac:dyDescent="0.25">
      <c r="C25" s="88">
        <v>44483</v>
      </c>
      <c r="D25" s="39" t="s">
        <v>27</v>
      </c>
      <c r="E25" s="58" t="s">
        <v>28</v>
      </c>
      <c r="F25" s="40" t="s">
        <v>8</v>
      </c>
      <c r="G25" s="57" t="s">
        <v>3</v>
      </c>
      <c r="H25" s="40" t="s">
        <v>26</v>
      </c>
      <c r="I25" s="57" t="s">
        <v>10</v>
      </c>
      <c r="J25" s="40" t="s">
        <v>1</v>
      </c>
      <c r="K25" s="57" t="s">
        <v>4</v>
      </c>
      <c r="L25" s="32"/>
    </row>
    <row r="26" spans="3:22" x14ac:dyDescent="0.25">
      <c r="C26" s="88">
        <v>44484</v>
      </c>
      <c r="D26" s="39" t="s">
        <v>27</v>
      </c>
      <c r="E26" s="58" t="s">
        <v>6</v>
      </c>
      <c r="F26" s="40" t="s">
        <v>12</v>
      </c>
      <c r="G26" s="57" t="s">
        <v>3</v>
      </c>
      <c r="H26" s="40" t="s">
        <v>26</v>
      </c>
      <c r="I26" s="57" t="s">
        <v>10</v>
      </c>
      <c r="J26" s="40" t="s">
        <v>0</v>
      </c>
      <c r="K26" s="57" t="s">
        <v>4</v>
      </c>
      <c r="L26" s="32"/>
      <c r="M26" s="35"/>
      <c r="N26" s="35"/>
      <c r="O26" s="35"/>
      <c r="P26" s="35"/>
      <c r="Q26" s="35"/>
    </row>
    <row r="27" spans="3:22" x14ac:dyDescent="0.25">
      <c r="C27" s="88">
        <v>44485</v>
      </c>
      <c r="D27" s="39" t="s">
        <v>27</v>
      </c>
      <c r="E27" s="58" t="s">
        <v>6</v>
      </c>
      <c r="F27" s="40" t="s">
        <v>12</v>
      </c>
      <c r="G27" s="57" t="s">
        <v>3</v>
      </c>
      <c r="H27" s="40" t="s">
        <v>26</v>
      </c>
      <c r="I27" s="57" t="s">
        <v>10</v>
      </c>
      <c r="J27" s="40" t="s">
        <v>0</v>
      </c>
      <c r="K27" s="57" t="s">
        <v>28</v>
      </c>
      <c r="L27" s="32"/>
      <c r="M27" s="35"/>
      <c r="N27" s="35" t="s">
        <v>72</v>
      </c>
      <c r="O27" s="35"/>
      <c r="P27" s="35"/>
      <c r="Q27" s="35"/>
    </row>
    <row r="28" spans="3:22" x14ac:dyDescent="0.25">
      <c r="C28" s="88">
        <v>44486</v>
      </c>
      <c r="D28" s="39" t="s">
        <v>8</v>
      </c>
      <c r="E28" s="58" t="s">
        <v>6</v>
      </c>
      <c r="F28" s="40" t="s">
        <v>12</v>
      </c>
      <c r="G28" s="57" t="s">
        <v>3</v>
      </c>
      <c r="H28" s="40" t="s">
        <v>1</v>
      </c>
      <c r="I28" s="57" t="s">
        <v>4</v>
      </c>
      <c r="J28" s="40" t="s">
        <v>0</v>
      </c>
      <c r="K28" s="57" t="s">
        <v>28</v>
      </c>
      <c r="L28" s="32"/>
      <c r="M28" s="35"/>
      <c r="N28" s="36" t="s">
        <v>73</v>
      </c>
      <c r="O28" s="35"/>
      <c r="P28" s="35"/>
      <c r="Q28" s="35"/>
    </row>
    <row r="29" spans="3:22" x14ac:dyDescent="0.25">
      <c r="C29" s="88">
        <v>44487</v>
      </c>
      <c r="D29" s="39" t="s">
        <v>8</v>
      </c>
      <c r="E29" s="58" t="s">
        <v>6</v>
      </c>
      <c r="F29" s="40" t="s">
        <v>12</v>
      </c>
      <c r="G29" s="57" t="s">
        <v>10</v>
      </c>
      <c r="H29" s="40" t="s">
        <v>1</v>
      </c>
      <c r="I29" s="57" t="s">
        <v>4</v>
      </c>
      <c r="J29" s="40" t="s">
        <v>0</v>
      </c>
      <c r="K29" s="57" t="s">
        <v>28</v>
      </c>
      <c r="L29" s="32"/>
      <c r="M29" s="35"/>
      <c r="N29" s="35"/>
      <c r="O29" s="35"/>
      <c r="P29" s="35"/>
      <c r="Q29" s="35"/>
    </row>
    <row r="30" spans="3:22" x14ac:dyDescent="0.25">
      <c r="C30" s="88">
        <v>44488</v>
      </c>
      <c r="D30" s="39" t="s">
        <v>8</v>
      </c>
      <c r="E30" s="58" t="s">
        <v>3</v>
      </c>
      <c r="F30" s="40" t="s">
        <v>26</v>
      </c>
      <c r="G30" s="57" t="s">
        <v>10</v>
      </c>
      <c r="H30" s="40" t="s">
        <v>1</v>
      </c>
      <c r="I30" s="57" t="s">
        <v>4</v>
      </c>
      <c r="J30" s="40" t="s">
        <v>27</v>
      </c>
      <c r="K30" s="57" t="s">
        <v>28</v>
      </c>
      <c r="L30" s="32"/>
    </row>
    <row r="31" spans="3:22" x14ac:dyDescent="0.25">
      <c r="C31" s="88">
        <v>44489</v>
      </c>
      <c r="D31" s="39" t="s">
        <v>8</v>
      </c>
      <c r="E31" s="58" t="s">
        <v>3</v>
      </c>
      <c r="F31" s="40" t="s">
        <v>26</v>
      </c>
      <c r="G31" s="57" t="s">
        <v>10</v>
      </c>
      <c r="H31" s="40" t="s">
        <v>1</v>
      </c>
      <c r="I31" s="57" t="s">
        <v>4</v>
      </c>
      <c r="J31" s="40" t="s">
        <v>27</v>
      </c>
      <c r="K31" s="57" t="s">
        <v>6</v>
      </c>
      <c r="L31" s="32"/>
      <c r="M31" s="37"/>
      <c r="N31" s="37"/>
      <c r="O31" s="37"/>
      <c r="P31" s="37"/>
      <c r="Q31" s="37"/>
      <c r="R31" s="37"/>
    </row>
    <row r="32" spans="3:22" x14ac:dyDescent="0.25">
      <c r="C32" s="88">
        <v>44490</v>
      </c>
      <c r="D32" s="39" t="s">
        <v>12</v>
      </c>
      <c r="E32" s="58" t="s">
        <v>3</v>
      </c>
      <c r="F32" s="40" t="s">
        <v>26</v>
      </c>
      <c r="G32" s="57" t="s">
        <v>10</v>
      </c>
      <c r="H32" s="40" t="s">
        <v>0</v>
      </c>
      <c r="I32" s="57" t="s">
        <v>28</v>
      </c>
      <c r="J32" s="40" t="s">
        <v>27</v>
      </c>
      <c r="K32" s="57" t="s">
        <v>6</v>
      </c>
      <c r="L32" s="32"/>
    </row>
    <row r="33" spans="3:12" x14ac:dyDescent="0.25">
      <c r="C33" s="88">
        <v>44491</v>
      </c>
      <c r="D33" s="39" t="s">
        <v>12</v>
      </c>
      <c r="E33" s="58" t="s">
        <v>3</v>
      </c>
      <c r="F33" s="40" t="s">
        <v>26</v>
      </c>
      <c r="G33" s="57" t="s">
        <v>4</v>
      </c>
      <c r="H33" s="40" t="s">
        <v>0</v>
      </c>
      <c r="I33" s="57" t="s">
        <v>28</v>
      </c>
      <c r="J33" s="40" t="s">
        <v>27</v>
      </c>
      <c r="K33" s="57" t="s">
        <v>6</v>
      </c>
      <c r="L33" s="34"/>
    </row>
    <row r="34" spans="3:12" x14ac:dyDescent="0.25">
      <c r="C34" s="88">
        <v>44492</v>
      </c>
      <c r="D34" s="39" t="s">
        <v>12</v>
      </c>
      <c r="E34" s="58" t="s">
        <v>10</v>
      </c>
      <c r="F34" s="40" t="s">
        <v>1</v>
      </c>
      <c r="G34" s="57" t="s">
        <v>4</v>
      </c>
      <c r="H34" s="40" t="s">
        <v>0</v>
      </c>
      <c r="I34" s="57" t="s">
        <v>28</v>
      </c>
      <c r="J34" s="40" t="s">
        <v>8</v>
      </c>
      <c r="K34" s="57" t="s">
        <v>6</v>
      </c>
      <c r="L34" s="32"/>
    </row>
    <row r="35" spans="3:12" x14ac:dyDescent="0.25">
      <c r="C35" s="88">
        <v>44493</v>
      </c>
      <c r="D35" s="39" t="s">
        <v>12</v>
      </c>
      <c r="E35" s="58" t="s">
        <v>10</v>
      </c>
      <c r="F35" s="40" t="s">
        <v>1</v>
      </c>
      <c r="G35" s="57" t="s">
        <v>4</v>
      </c>
      <c r="H35" s="40" t="s">
        <v>0</v>
      </c>
      <c r="I35" s="57" t="s">
        <v>28</v>
      </c>
      <c r="J35" s="40" t="s">
        <v>8</v>
      </c>
      <c r="K35" s="57" t="s">
        <v>3</v>
      </c>
      <c r="L35" s="32"/>
    </row>
    <row r="36" spans="3:12" x14ac:dyDescent="0.25">
      <c r="C36" s="88">
        <v>44494</v>
      </c>
      <c r="D36" s="39" t="s">
        <v>26</v>
      </c>
      <c r="E36" s="58" t="s">
        <v>10</v>
      </c>
      <c r="F36" s="40" t="s">
        <v>1</v>
      </c>
      <c r="G36" s="57" t="s">
        <v>4</v>
      </c>
      <c r="H36" s="40" t="s">
        <v>27</v>
      </c>
      <c r="I36" s="57" t="s">
        <v>6</v>
      </c>
      <c r="J36" s="40" t="s">
        <v>8</v>
      </c>
      <c r="K36" s="57" t="s">
        <v>3</v>
      </c>
      <c r="L36" s="32"/>
    </row>
    <row r="37" spans="3:12" x14ac:dyDescent="0.25">
      <c r="C37" s="88">
        <v>44495</v>
      </c>
      <c r="D37" s="39" t="s">
        <v>26</v>
      </c>
      <c r="E37" s="58" t="s">
        <v>10</v>
      </c>
      <c r="F37" s="40" t="s">
        <v>1</v>
      </c>
      <c r="G37" s="57" t="s">
        <v>28</v>
      </c>
      <c r="H37" s="40" t="s">
        <v>27</v>
      </c>
      <c r="I37" s="57" t="s">
        <v>6</v>
      </c>
      <c r="J37" s="40" t="s">
        <v>8</v>
      </c>
      <c r="K37" s="57" t="s">
        <v>3</v>
      </c>
      <c r="L37" s="32"/>
    </row>
    <row r="38" spans="3:12" x14ac:dyDescent="0.25">
      <c r="C38" s="88">
        <v>44496</v>
      </c>
      <c r="D38" s="39" t="s">
        <v>26</v>
      </c>
      <c r="E38" s="58" t="s">
        <v>4</v>
      </c>
      <c r="F38" s="40" t="s">
        <v>0</v>
      </c>
      <c r="G38" s="57" t="s">
        <v>28</v>
      </c>
      <c r="H38" s="40" t="s">
        <v>27</v>
      </c>
      <c r="I38" s="57" t="s">
        <v>6</v>
      </c>
      <c r="J38" s="40" t="s">
        <v>12</v>
      </c>
      <c r="K38" s="57" t="s">
        <v>3</v>
      </c>
      <c r="L38" s="32"/>
    </row>
    <row r="39" spans="3:12" x14ac:dyDescent="0.25">
      <c r="C39" s="88">
        <v>44497</v>
      </c>
      <c r="D39" s="39" t="s">
        <v>26</v>
      </c>
      <c r="E39" s="58" t="s">
        <v>4</v>
      </c>
      <c r="F39" s="40" t="s">
        <v>0</v>
      </c>
      <c r="G39" s="57" t="s">
        <v>28</v>
      </c>
      <c r="H39" s="40" t="s">
        <v>27</v>
      </c>
      <c r="I39" s="57" t="s">
        <v>6</v>
      </c>
      <c r="J39" s="40" t="s">
        <v>12</v>
      </c>
      <c r="K39" s="57" t="s">
        <v>10</v>
      </c>
      <c r="L39" s="32"/>
    </row>
    <row r="40" spans="3:12" x14ac:dyDescent="0.25">
      <c r="C40" s="88">
        <v>44498</v>
      </c>
      <c r="D40" s="39" t="s">
        <v>1</v>
      </c>
      <c r="E40" s="58" t="s">
        <v>4</v>
      </c>
      <c r="F40" s="40" t="s">
        <v>0</v>
      </c>
      <c r="G40" s="57" t="s">
        <v>28</v>
      </c>
      <c r="H40" s="40" t="s">
        <v>8</v>
      </c>
      <c r="I40" s="57" t="s">
        <v>3</v>
      </c>
      <c r="J40" s="40" t="s">
        <v>12</v>
      </c>
      <c r="K40" s="57" t="s">
        <v>10</v>
      </c>
      <c r="L40" s="32"/>
    </row>
    <row r="41" spans="3:12" x14ac:dyDescent="0.25">
      <c r="C41" s="88">
        <v>44499</v>
      </c>
      <c r="D41" s="39" t="s">
        <v>1</v>
      </c>
      <c r="E41" s="58" t="s">
        <v>4</v>
      </c>
      <c r="F41" s="40" t="s">
        <v>0</v>
      </c>
      <c r="G41" s="57" t="s">
        <v>6</v>
      </c>
      <c r="H41" s="40" t="s">
        <v>8</v>
      </c>
      <c r="I41" s="57" t="s">
        <v>3</v>
      </c>
      <c r="J41" s="40" t="s">
        <v>12</v>
      </c>
      <c r="K41" s="57" t="s">
        <v>10</v>
      </c>
      <c r="L41" s="32"/>
    </row>
    <row r="42" spans="3:12" x14ac:dyDescent="0.25">
      <c r="C42" s="88">
        <v>44500</v>
      </c>
      <c r="D42" s="39" t="s">
        <v>1</v>
      </c>
      <c r="E42" s="58" t="s">
        <v>28</v>
      </c>
      <c r="F42" s="40" t="s">
        <v>27</v>
      </c>
      <c r="G42" s="57" t="s">
        <v>6</v>
      </c>
      <c r="H42" s="40" t="s">
        <v>8</v>
      </c>
      <c r="I42" s="57" t="s">
        <v>3</v>
      </c>
      <c r="J42" s="40" t="s">
        <v>26</v>
      </c>
      <c r="K42" s="57" t="s">
        <v>10</v>
      </c>
      <c r="L42" s="32"/>
    </row>
    <row r="43" spans="3:12" x14ac:dyDescent="0.25">
      <c r="C43" s="36"/>
      <c r="D43" s="38"/>
      <c r="E43" s="38"/>
      <c r="F43" s="38"/>
      <c r="G43" s="38"/>
      <c r="H43" s="38"/>
      <c r="I43" s="38"/>
    </row>
  </sheetData>
  <autoFilter ref="B11:V42" xr:uid="{00000000-0009-0000-0000-00000A000000}">
    <filterColumn colId="0" showButton="0"/>
  </autoFilter>
  <mergeCells count="2">
    <mergeCell ref="C2:D2"/>
    <mergeCell ref="E2:F2"/>
  </mergeCells>
  <pageMargins left="0.25" right="0.25" top="0.75" bottom="0.75" header="0.3" footer="0.3"/>
  <pageSetup paperSize="9" scale="74" orientation="landscape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B1:V43"/>
  <sheetViews>
    <sheetView showGridLines="0" topLeftCell="A9" zoomScaleNormal="100" workbookViewId="0">
      <selection activeCell="J12" sqref="J12:U42"/>
    </sheetView>
  </sheetViews>
  <sheetFormatPr defaultColWidth="9.140625" defaultRowHeight="15" x14ac:dyDescent="0.25"/>
  <cols>
    <col min="1" max="1" width="2.42578125" style="2" customWidth="1"/>
    <col min="2" max="2" width="11.5703125" bestFit="1" customWidth="1"/>
    <col min="3" max="3" width="12.5703125" style="2" customWidth="1"/>
    <col min="4" max="11" width="13.7109375" style="27" customWidth="1"/>
    <col min="12" max="12" width="4.7109375" style="2" customWidth="1"/>
    <col min="13" max="13" width="9.140625" style="2"/>
    <col min="14" max="14" width="14.5703125" style="2" bestFit="1" customWidth="1"/>
    <col min="15" max="17" width="9.140625" style="2"/>
    <col min="18" max="18" width="9.140625" style="2" customWidth="1"/>
    <col min="19" max="21" width="9.140625" style="2"/>
    <col min="22" max="22" width="9.140625" style="1"/>
    <col min="23" max="16384" width="9.140625" style="2"/>
  </cols>
  <sheetData>
    <row r="1" spans="3:22" x14ac:dyDescent="0.25">
      <c r="K1"/>
    </row>
    <row r="2" spans="3:22" ht="15" customHeight="1" x14ac:dyDescent="0.25">
      <c r="C2" s="191" t="s">
        <v>22</v>
      </c>
      <c r="D2" s="191"/>
      <c r="E2" s="191" t="s">
        <v>23</v>
      </c>
      <c r="F2" s="191"/>
      <c r="G2"/>
      <c r="H2"/>
      <c r="I2" s="2"/>
      <c r="J2" s="2"/>
      <c r="K2" s="2"/>
      <c r="S2" s="1"/>
      <c r="V2" s="2"/>
    </row>
    <row r="3" spans="3:22" ht="15" customHeight="1" x14ac:dyDescent="0.25">
      <c r="C3" s="67" t="s">
        <v>26</v>
      </c>
      <c r="D3" s="65" t="s">
        <v>20</v>
      </c>
      <c r="E3" s="66" t="s">
        <v>3</v>
      </c>
      <c r="F3" s="65" t="s">
        <v>2</v>
      </c>
      <c r="G3"/>
      <c r="H3" s="2"/>
      <c r="I3" s="2"/>
      <c r="J3" s="2"/>
      <c r="K3" s="2"/>
      <c r="R3" s="1"/>
      <c r="V3" s="2"/>
    </row>
    <row r="4" spans="3:22" ht="15" customHeight="1" x14ac:dyDescent="0.25">
      <c r="C4" s="67" t="s">
        <v>1</v>
      </c>
      <c r="D4" s="65" t="s">
        <v>21</v>
      </c>
      <c r="E4" s="66" t="s">
        <v>10</v>
      </c>
      <c r="F4" s="65" t="s">
        <v>7</v>
      </c>
      <c r="G4"/>
      <c r="H4" s="2"/>
      <c r="I4" s="2"/>
      <c r="J4" s="2"/>
      <c r="K4" s="2"/>
      <c r="R4" s="1"/>
      <c r="V4" s="2"/>
    </row>
    <row r="5" spans="3:22" x14ac:dyDescent="0.25">
      <c r="C5" s="67" t="s">
        <v>0</v>
      </c>
      <c r="D5" s="65" t="s">
        <v>5</v>
      </c>
      <c r="E5" s="66" t="s">
        <v>4</v>
      </c>
      <c r="F5" s="65" t="s">
        <v>69</v>
      </c>
      <c r="G5"/>
      <c r="H5" s="2"/>
      <c r="I5" s="2"/>
      <c r="J5" s="2"/>
      <c r="K5" s="2"/>
      <c r="R5" s="1"/>
      <c r="V5" s="2"/>
    </row>
    <row r="6" spans="3:22" x14ac:dyDescent="0.25">
      <c r="C6" s="67" t="s">
        <v>27</v>
      </c>
      <c r="D6" s="65" t="s">
        <v>9</v>
      </c>
      <c r="E6" s="66" t="s">
        <v>28</v>
      </c>
      <c r="F6" s="65" t="s">
        <v>25</v>
      </c>
      <c r="G6" s="87"/>
      <c r="H6" s="2"/>
      <c r="I6" s="2"/>
      <c r="J6" s="2"/>
      <c r="K6" s="2"/>
      <c r="R6" s="1"/>
      <c r="V6" s="2"/>
    </row>
    <row r="7" spans="3:22" x14ac:dyDescent="0.25">
      <c r="C7" s="67" t="s">
        <v>8</v>
      </c>
      <c r="D7" s="65" t="s">
        <v>11</v>
      </c>
      <c r="E7" s="66" t="s">
        <v>6</v>
      </c>
      <c r="F7" s="65" t="s">
        <v>70</v>
      </c>
      <c r="G7" s="87"/>
      <c r="H7" s="2"/>
      <c r="I7" s="2"/>
      <c r="J7" s="2"/>
      <c r="K7" s="2"/>
      <c r="R7" s="1"/>
      <c r="V7" s="2"/>
    </row>
    <row r="8" spans="3:22" x14ac:dyDescent="0.25">
      <c r="C8" s="67" t="s">
        <v>12</v>
      </c>
      <c r="D8" s="65" t="s">
        <v>13</v>
      </c>
      <c r="E8" s="66" t="s">
        <v>59</v>
      </c>
      <c r="F8" s="65" t="s">
        <v>71</v>
      </c>
      <c r="G8" s="6"/>
      <c r="H8" s="2"/>
      <c r="I8" s="2"/>
      <c r="J8" s="2"/>
      <c r="K8" s="2"/>
      <c r="R8" s="1"/>
      <c r="V8" s="2"/>
    </row>
    <row r="9" spans="3:22" x14ac:dyDescent="0.25">
      <c r="C9" s="3"/>
      <c r="D9" s="6"/>
      <c r="E9" s="6"/>
      <c r="H9" s="6"/>
      <c r="I9" s="6"/>
      <c r="J9" s="6"/>
      <c r="K9" s="6"/>
      <c r="V9" s="1" t="s">
        <v>60</v>
      </c>
    </row>
    <row r="10" spans="3:22" x14ac:dyDescent="0.25">
      <c r="C10" s="28"/>
      <c r="D10" s="29"/>
      <c r="E10" s="29"/>
      <c r="F10" s="29"/>
      <c r="G10" s="29"/>
      <c r="H10" s="29"/>
      <c r="I10" s="29"/>
      <c r="J10" s="29"/>
      <c r="K10" s="29"/>
    </row>
    <row r="11" spans="3:22" ht="15.75" customHeight="1" x14ac:dyDescent="0.25">
      <c r="C11" s="45" t="s">
        <v>39</v>
      </c>
      <c r="D11" s="46" t="s">
        <v>53</v>
      </c>
      <c r="E11" s="46" t="s">
        <v>53</v>
      </c>
      <c r="F11" s="46" t="s">
        <v>54</v>
      </c>
      <c r="G11" s="46" t="s">
        <v>54</v>
      </c>
      <c r="H11" s="46" t="s">
        <v>55</v>
      </c>
      <c r="I11" s="46" t="s">
        <v>55</v>
      </c>
      <c r="J11" s="46" t="s">
        <v>56</v>
      </c>
      <c r="K11" s="46" t="s">
        <v>56</v>
      </c>
    </row>
    <row r="12" spans="3:22" ht="15.75" x14ac:dyDescent="0.25">
      <c r="C12" s="88">
        <v>44470</v>
      </c>
      <c r="D12" s="39" t="s">
        <v>26</v>
      </c>
      <c r="E12" s="58" t="s">
        <v>4</v>
      </c>
      <c r="F12" s="40" t="s">
        <v>27</v>
      </c>
      <c r="G12" s="57" t="s">
        <v>28</v>
      </c>
      <c r="H12" s="40" t="s">
        <v>8</v>
      </c>
      <c r="I12" s="57" t="s">
        <v>6</v>
      </c>
      <c r="J12" s="40" t="s">
        <v>12</v>
      </c>
      <c r="K12" s="57" t="s">
        <v>10</v>
      </c>
      <c r="L12" s="30"/>
      <c r="M12" s="4" t="s">
        <v>44</v>
      </c>
      <c r="N12" s="4" t="s">
        <v>43</v>
      </c>
      <c r="O12" s="4" t="s">
        <v>15</v>
      </c>
      <c r="P12" s="4" t="s">
        <v>16</v>
      </c>
      <c r="Q12" s="4" t="s">
        <v>17</v>
      </c>
      <c r="R12" s="4" t="s">
        <v>18</v>
      </c>
      <c r="S12" s="4"/>
      <c r="T12" s="4"/>
      <c r="U12" s="4" t="s">
        <v>57</v>
      </c>
      <c r="V12" s="31" t="s">
        <v>58</v>
      </c>
    </row>
    <row r="13" spans="3:22" ht="15.75" x14ac:dyDescent="0.25">
      <c r="C13" s="88">
        <v>44471</v>
      </c>
      <c r="D13" s="39" t="s">
        <v>26</v>
      </c>
      <c r="E13" s="58" t="s">
        <v>4</v>
      </c>
      <c r="F13" s="40" t="s">
        <v>1</v>
      </c>
      <c r="G13" s="57" t="s">
        <v>28</v>
      </c>
      <c r="H13" s="40" t="s">
        <v>8</v>
      </c>
      <c r="I13" s="57" t="s">
        <v>6</v>
      </c>
      <c r="J13" s="40" t="s">
        <v>12</v>
      </c>
      <c r="K13" s="57" t="s">
        <v>59</v>
      </c>
      <c r="M13" s="47" t="s">
        <v>26</v>
      </c>
      <c r="N13" s="41" t="str">
        <f t="shared" ref="N13:N18" si="0">D3</f>
        <v>B.Selayaran</v>
      </c>
      <c r="O13" s="42">
        <f>COUNTIF($D$12:$D$42,"A")</f>
        <v>12</v>
      </c>
      <c r="P13" s="42">
        <f>COUNTIF($F$12:$F$42,"A")</f>
        <v>0</v>
      </c>
      <c r="Q13" s="42">
        <f>COUNTIF($H$12:$H$42,"A")</f>
        <v>9</v>
      </c>
      <c r="R13" s="42">
        <f>COUNTIF($J$12:$J$42,"A")</f>
        <v>0</v>
      </c>
      <c r="S13" s="43"/>
      <c r="T13" s="43"/>
      <c r="U13" s="43">
        <f t="shared" ref="U13:U23" si="1">SUM(O13:T13)</f>
        <v>21</v>
      </c>
      <c r="V13" s="42">
        <f>31-U13</f>
        <v>10</v>
      </c>
    </row>
    <row r="14" spans="3:22" ht="15.75" x14ac:dyDescent="0.25">
      <c r="C14" s="88">
        <v>44472</v>
      </c>
      <c r="D14" s="39" t="s">
        <v>26</v>
      </c>
      <c r="E14" s="58" t="s">
        <v>3</v>
      </c>
      <c r="F14" s="40" t="s">
        <v>1</v>
      </c>
      <c r="G14" s="57" t="s">
        <v>28</v>
      </c>
      <c r="H14" s="40" t="s">
        <v>0</v>
      </c>
      <c r="I14" s="57" t="s">
        <v>6</v>
      </c>
      <c r="J14" s="40" t="s">
        <v>12</v>
      </c>
      <c r="K14" s="57" t="s">
        <v>59</v>
      </c>
      <c r="L14" s="32"/>
      <c r="M14" s="48" t="s">
        <v>1</v>
      </c>
      <c r="N14" s="41" t="str">
        <f t="shared" si="0"/>
        <v>B.Hornes</v>
      </c>
      <c r="O14" s="42">
        <f>COUNTIF($D$12:$D$42,"B")</f>
        <v>0</v>
      </c>
      <c r="P14" s="42">
        <f>COUNTIF($F$12:$F$42,"B")</f>
        <v>12</v>
      </c>
      <c r="Q14" s="42">
        <f>COUNTIF($H$12:$H$42,"B")</f>
        <v>0</v>
      </c>
      <c r="R14" s="42">
        <f>COUNTIF($J$12:$J$42,"B")</f>
        <v>8</v>
      </c>
      <c r="S14" s="44"/>
      <c r="T14" s="44"/>
      <c r="U14" s="43">
        <f t="shared" si="1"/>
        <v>20</v>
      </c>
      <c r="V14" s="42">
        <f t="shared" ref="V14:V23" si="2">31-U14</f>
        <v>11</v>
      </c>
    </row>
    <row r="15" spans="3:22" ht="15.75" x14ac:dyDescent="0.25">
      <c r="C15" s="88">
        <v>44473</v>
      </c>
      <c r="D15" s="39" t="s">
        <v>26</v>
      </c>
      <c r="E15" s="58" t="s">
        <v>3</v>
      </c>
      <c r="F15" s="40" t="s">
        <v>1</v>
      </c>
      <c r="G15" s="57" t="s">
        <v>10</v>
      </c>
      <c r="H15" s="40" t="s">
        <v>0</v>
      </c>
      <c r="I15" s="57" t="s">
        <v>6</v>
      </c>
      <c r="J15" s="40" t="s">
        <v>27</v>
      </c>
      <c r="K15" s="57" t="s">
        <v>59</v>
      </c>
      <c r="L15" s="32"/>
      <c r="M15" s="48" t="s">
        <v>0</v>
      </c>
      <c r="N15" s="41" t="str">
        <f t="shared" si="0"/>
        <v>Allan</v>
      </c>
      <c r="O15" s="42">
        <f>COUNTIF($D$12:$D$42,"C")</f>
        <v>8</v>
      </c>
      <c r="P15" s="42">
        <f>COUNTIF($F$12:$F$42,"C")</f>
        <v>0</v>
      </c>
      <c r="Q15" s="42">
        <f>COUNTIF($H$12:$H$42,"C")</f>
        <v>12</v>
      </c>
      <c r="R15" s="42">
        <f>COUNTIF($J$12:$J$42,"C")</f>
        <v>0</v>
      </c>
      <c r="S15" s="44"/>
      <c r="T15" s="44"/>
      <c r="U15" s="43">
        <f t="shared" si="1"/>
        <v>20</v>
      </c>
      <c r="V15" s="42">
        <f t="shared" si="2"/>
        <v>11</v>
      </c>
    </row>
    <row r="16" spans="3:22" ht="15.75" x14ac:dyDescent="0.25">
      <c r="C16" s="88">
        <v>44474</v>
      </c>
      <c r="D16" s="39" t="s">
        <v>8</v>
      </c>
      <c r="E16" s="58" t="s">
        <v>3</v>
      </c>
      <c r="F16" s="40" t="s">
        <v>1</v>
      </c>
      <c r="G16" s="57" t="s">
        <v>10</v>
      </c>
      <c r="H16" s="40" t="s">
        <v>0</v>
      </c>
      <c r="I16" s="57" t="s">
        <v>4</v>
      </c>
      <c r="J16" s="40" t="s">
        <v>27</v>
      </c>
      <c r="K16" s="57" t="s">
        <v>59</v>
      </c>
      <c r="L16" s="32"/>
      <c r="M16" s="48" t="s">
        <v>27</v>
      </c>
      <c r="N16" s="41" t="str">
        <f t="shared" si="0"/>
        <v>Eduardo</v>
      </c>
      <c r="O16" s="42">
        <f>COUNTIF($D$12:$D$42,"D")</f>
        <v>0</v>
      </c>
      <c r="P16" s="42">
        <f>COUNTIF($F$12:$F$42,"D")</f>
        <v>9</v>
      </c>
      <c r="Q16" s="42">
        <f>COUNTIF($H$12:$H$42,"D")</f>
        <v>0</v>
      </c>
      <c r="R16" s="42">
        <f>COUNTIF($J$12:$J$42,"D")</f>
        <v>12</v>
      </c>
      <c r="S16" s="44"/>
      <c r="T16" s="44"/>
      <c r="U16" s="43">
        <f t="shared" si="1"/>
        <v>21</v>
      </c>
      <c r="V16" s="42">
        <f t="shared" si="2"/>
        <v>10</v>
      </c>
    </row>
    <row r="17" spans="3:22" ht="15.75" x14ac:dyDescent="0.25">
      <c r="C17" s="88">
        <v>44475</v>
      </c>
      <c r="D17" s="39" t="s">
        <v>8</v>
      </c>
      <c r="E17" s="58" t="s">
        <v>3</v>
      </c>
      <c r="F17" s="40" t="s">
        <v>12</v>
      </c>
      <c r="G17" s="57" t="s">
        <v>10</v>
      </c>
      <c r="H17" s="40" t="s">
        <v>0</v>
      </c>
      <c r="I17" s="57" t="s">
        <v>4</v>
      </c>
      <c r="J17" s="40" t="s">
        <v>27</v>
      </c>
      <c r="K17" s="57" t="s">
        <v>28</v>
      </c>
      <c r="L17" s="33"/>
      <c r="M17" s="48" t="s">
        <v>8</v>
      </c>
      <c r="N17" s="41" t="str">
        <f t="shared" si="0"/>
        <v>Marco</v>
      </c>
      <c r="O17" s="42">
        <f>COUNTIF($D$12:$D$42,"E")</f>
        <v>11</v>
      </c>
      <c r="P17" s="42">
        <f>COUNTIF($F$12:$F$42,"E")</f>
        <v>0</v>
      </c>
      <c r="Q17" s="42">
        <f>COUNTIF($H$12:$H$42,"E")</f>
        <v>10</v>
      </c>
      <c r="R17" s="42">
        <f>COUNTIF($J$12:$J$42,"E")</f>
        <v>0</v>
      </c>
      <c r="S17" s="44"/>
      <c r="T17" s="44"/>
      <c r="U17" s="43">
        <f t="shared" si="1"/>
        <v>21</v>
      </c>
      <c r="V17" s="42">
        <f t="shared" si="2"/>
        <v>10</v>
      </c>
    </row>
    <row r="18" spans="3:22" ht="15.75" x14ac:dyDescent="0.25">
      <c r="C18" s="88">
        <v>44476</v>
      </c>
      <c r="D18" s="39" t="s">
        <v>8</v>
      </c>
      <c r="E18" s="58" t="s">
        <v>6</v>
      </c>
      <c r="F18" s="40" t="s">
        <v>12</v>
      </c>
      <c r="G18" s="57" t="s">
        <v>10</v>
      </c>
      <c r="H18" s="40" t="s">
        <v>26</v>
      </c>
      <c r="I18" s="57" t="s">
        <v>4</v>
      </c>
      <c r="J18" s="40" t="s">
        <v>27</v>
      </c>
      <c r="K18" s="57" t="s">
        <v>28</v>
      </c>
      <c r="L18" s="32"/>
      <c r="M18" s="48" t="s">
        <v>12</v>
      </c>
      <c r="N18" s="41" t="str">
        <f t="shared" si="0"/>
        <v>Rodrigo</v>
      </c>
      <c r="O18" s="42">
        <f>COUNTIF($D$12:$D$42,"F")</f>
        <v>0</v>
      </c>
      <c r="P18" s="42">
        <f>COUNTIF($F$12:$F$42,"F")</f>
        <v>10</v>
      </c>
      <c r="Q18" s="42">
        <f>COUNTIF($H$12:$H$42,"F")</f>
        <v>0</v>
      </c>
      <c r="R18" s="42">
        <f>COUNTIF($J$12:$J$42,"F")</f>
        <v>11</v>
      </c>
      <c r="S18" s="44"/>
      <c r="T18" s="44"/>
      <c r="U18" s="43">
        <f t="shared" ref="U18" si="3">SUM(O18:T18)</f>
        <v>21</v>
      </c>
      <c r="V18" s="42">
        <f t="shared" ref="V18" si="4">31-U18</f>
        <v>10</v>
      </c>
    </row>
    <row r="19" spans="3:22" ht="15.75" x14ac:dyDescent="0.25">
      <c r="C19" s="88">
        <v>44477</v>
      </c>
      <c r="D19" s="39" t="s">
        <v>8</v>
      </c>
      <c r="E19" s="58" t="s">
        <v>6</v>
      </c>
      <c r="F19" s="40" t="s">
        <v>12</v>
      </c>
      <c r="G19" s="57" t="s">
        <v>59</v>
      </c>
      <c r="H19" s="40" t="s">
        <v>26</v>
      </c>
      <c r="I19" s="57" t="s">
        <v>4</v>
      </c>
      <c r="J19" s="40" t="s">
        <v>1</v>
      </c>
      <c r="K19" s="57" t="s">
        <v>28</v>
      </c>
      <c r="L19" s="32"/>
      <c r="M19" s="51" t="s">
        <v>3</v>
      </c>
      <c r="N19" s="59" t="str">
        <f t="shared" ref="N19:N24" si="5">F3</f>
        <v>Brancão</v>
      </c>
      <c r="O19" s="53">
        <f>COUNTIF($E$12:$E$42,"G")</f>
        <v>12</v>
      </c>
      <c r="P19" s="53">
        <f>COUNTIF($G$12:$G$42,"G")</f>
        <v>0</v>
      </c>
      <c r="Q19" s="53">
        <f>COUNTIF($I$12:$I$42,"G")</f>
        <v>8</v>
      </c>
      <c r="R19" s="53">
        <f>COUNTIF($K$12:$K$42,"G")</f>
        <v>0</v>
      </c>
      <c r="S19" s="52"/>
      <c r="T19" s="52"/>
      <c r="U19" s="54">
        <f t="shared" si="1"/>
        <v>20</v>
      </c>
      <c r="V19" s="53">
        <f t="shared" si="2"/>
        <v>11</v>
      </c>
    </row>
    <row r="20" spans="3:22" ht="15.75" x14ac:dyDescent="0.25">
      <c r="C20" s="88">
        <v>44478</v>
      </c>
      <c r="D20" s="39" t="s">
        <v>0</v>
      </c>
      <c r="E20" s="58" t="s">
        <v>6</v>
      </c>
      <c r="F20" s="40" t="s">
        <v>12</v>
      </c>
      <c r="G20" s="57" t="s">
        <v>59</v>
      </c>
      <c r="H20" s="40" t="s">
        <v>26</v>
      </c>
      <c r="I20" s="57" t="s">
        <v>3</v>
      </c>
      <c r="J20" s="40" t="s">
        <v>1</v>
      </c>
      <c r="K20" s="57" t="s">
        <v>28</v>
      </c>
      <c r="L20" s="32"/>
      <c r="M20" s="55" t="s">
        <v>10</v>
      </c>
      <c r="N20" s="59" t="str">
        <f t="shared" si="5"/>
        <v>Stephanie</v>
      </c>
      <c r="O20" s="53">
        <f>COUNTIF($E$12:$E$42,"H")</f>
        <v>0</v>
      </c>
      <c r="P20" s="53">
        <f>COUNTIF($G$12:$G$42,"H")</f>
        <v>12</v>
      </c>
      <c r="Q20" s="53">
        <f>COUNTIF($I$12:$I$42,"H")</f>
        <v>0</v>
      </c>
      <c r="R20" s="53">
        <f>COUNTIF($K$12:$K$42,"H")</f>
        <v>9</v>
      </c>
      <c r="S20" s="56"/>
      <c r="T20" s="56"/>
      <c r="U20" s="54">
        <f t="shared" si="1"/>
        <v>21</v>
      </c>
      <c r="V20" s="53">
        <f t="shared" si="2"/>
        <v>10</v>
      </c>
    </row>
    <row r="21" spans="3:22" ht="15.75" x14ac:dyDescent="0.25">
      <c r="C21" s="88">
        <v>44479</v>
      </c>
      <c r="D21" s="39" t="s">
        <v>0</v>
      </c>
      <c r="E21" s="58" t="s">
        <v>6</v>
      </c>
      <c r="F21" s="40" t="s">
        <v>27</v>
      </c>
      <c r="G21" s="57" t="s">
        <v>59</v>
      </c>
      <c r="H21" s="40" t="s">
        <v>26</v>
      </c>
      <c r="I21" s="57" t="s">
        <v>3</v>
      </c>
      <c r="J21" s="40" t="s">
        <v>1</v>
      </c>
      <c r="K21" s="57" t="s">
        <v>10</v>
      </c>
      <c r="L21" s="34"/>
      <c r="M21" s="55" t="s">
        <v>4</v>
      </c>
      <c r="N21" s="59" t="str">
        <f t="shared" si="5"/>
        <v>Flavia</v>
      </c>
      <c r="O21" s="53">
        <f>COUNTIF($E$12:$E$42,"I")</f>
        <v>10</v>
      </c>
      <c r="P21" s="53">
        <f>COUNTIF($G$12:$G$42,"I")</f>
        <v>0</v>
      </c>
      <c r="Q21" s="53">
        <f>COUNTIF($I$12:$I$42,"I")</f>
        <v>11</v>
      </c>
      <c r="R21" s="53">
        <f>COUNTIF($K$12:$K$42,"I")</f>
        <v>0</v>
      </c>
      <c r="S21" s="56"/>
      <c r="T21" s="56"/>
      <c r="U21" s="54">
        <f t="shared" si="1"/>
        <v>21</v>
      </c>
      <c r="V21" s="53">
        <f t="shared" si="2"/>
        <v>10</v>
      </c>
    </row>
    <row r="22" spans="3:22" ht="15.75" x14ac:dyDescent="0.25">
      <c r="C22" s="88">
        <v>44480</v>
      </c>
      <c r="D22" s="39" t="s">
        <v>0</v>
      </c>
      <c r="E22" s="58" t="s">
        <v>4</v>
      </c>
      <c r="F22" s="40" t="s">
        <v>27</v>
      </c>
      <c r="G22" s="57" t="s">
        <v>59</v>
      </c>
      <c r="H22" s="40" t="s">
        <v>8</v>
      </c>
      <c r="I22" s="57" t="s">
        <v>3</v>
      </c>
      <c r="J22" s="40" t="s">
        <v>1</v>
      </c>
      <c r="K22" s="57" t="s">
        <v>10</v>
      </c>
      <c r="L22" s="32"/>
      <c r="M22" s="55" t="s">
        <v>28</v>
      </c>
      <c r="N22" s="59" t="str">
        <f t="shared" si="5"/>
        <v>B.Machado</v>
      </c>
      <c r="O22" s="53">
        <f>COUNTIF($E$12:$E$42,"J")</f>
        <v>0</v>
      </c>
      <c r="P22" s="53">
        <f>COUNTIF($G$12:$G$42,"J")</f>
        <v>11</v>
      </c>
      <c r="Q22" s="53">
        <f>COUNTIF($I$12:$I$42,"J")</f>
        <v>0</v>
      </c>
      <c r="R22" s="53">
        <f>COUNTIF($K$12:$K$42,"J")</f>
        <v>10</v>
      </c>
      <c r="S22" s="56"/>
      <c r="T22" s="56"/>
      <c r="U22" s="54">
        <f t="shared" si="1"/>
        <v>21</v>
      </c>
      <c r="V22" s="53">
        <f t="shared" si="2"/>
        <v>10</v>
      </c>
    </row>
    <row r="23" spans="3:22" ht="15.75" x14ac:dyDescent="0.25">
      <c r="C23" s="88">
        <v>44481</v>
      </c>
      <c r="D23" s="39" t="s">
        <v>0</v>
      </c>
      <c r="E23" s="58" t="s">
        <v>4</v>
      </c>
      <c r="F23" s="40" t="s">
        <v>27</v>
      </c>
      <c r="G23" s="57" t="s">
        <v>28</v>
      </c>
      <c r="H23" s="40" t="s">
        <v>8</v>
      </c>
      <c r="I23" s="57" t="s">
        <v>3</v>
      </c>
      <c r="J23" s="40" t="s">
        <v>12</v>
      </c>
      <c r="K23" s="57" t="s">
        <v>10</v>
      </c>
      <c r="L23" s="33"/>
      <c r="M23" s="55" t="s">
        <v>6</v>
      </c>
      <c r="N23" s="59" t="str">
        <f t="shared" si="5"/>
        <v>Thais</v>
      </c>
      <c r="O23" s="53">
        <f>COUNTIF($E$12:$E$42,"K")</f>
        <v>9</v>
      </c>
      <c r="P23" s="53">
        <f>COUNTIF($G$12:$G$42,"K")</f>
        <v>0</v>
      </c>
      <c r="Q23" s="53">
        <f>COUNTIF($I$12:$I$42,"K")</f>
        <v>12</v>
      </c>
      <c r="R23" s="53">
        <f>COUNTIF($K$12:$K$42,"K")</f>
        <v>0</v>
      </c>
      <c r="S23" s="56"/>
      <c r="T23" s="56"/>
      <c r="U23" s="54">
        <f t="shared" si="1"/>
        <v>21</v>
      </c>
      <c r="V23" s="53">
        <f t="shared" si="2"/>
        <v>10</v>
      </c>
    </row>
    <row r="24" spans="3:22" ht="15.75" x14ac:dyDescent="0.25">
      <c r="C24" s="88">
        <v>44482</v>
      </c>
      <c r="D24" s="39" t="s">
        <v>26</v>
      </c>
      <c r="E24" s="58" t="s">
        <v>4</v>
      </c>
      <c r="F24" s="40" t="s">
        <v>27</v>
      </c>
      <c r="G24" s="57" t="s">
        <v>28</v>
      </c>
      <c r="H24" s="40" t="s">
        <v>8</v>
      </c>
      <c r="I24" s="57" t="s">
        <v>6</v>
      </c>
      <c r="J24" s="40" t="s">
        <v>12</v>
      </c>
      <c r="K24" s="57" t="s">
        <v>10</v>
      </c>
      <c r="L24" s="33"/>
      <c r="M24" s="55" t="s">
        <v>59</v>
      </c>
      <c r="N24" s="59" t="str">
        <f t="shared" si="5"/>
        <v>Bernardo</v>
      </c>
      <c r="O24" s="53">
        <f>COUNTIF($E$12:$E$42,"L")</f>
        <v>0</v>
      </c>
      <c r="P24" s="53">
        <f>COUNTIF($G$12:$G$42,"L")</f>
        <v>8</v>
      </c>
      <c r="Q24" s="53">
        <f>COUNTIF($I$12:$I$42,"L")</f>
        <v>0</v>
      </c>
      <c r="R24" s="53">
        <f>COUNTIF($K$12:$K$42,"L")</f>
        <v>12</v>
      </c>
      <c r="S24" s="56"/>
      <c r="T24" s="56"/>
      <c r="U24" s="54">
        <f t="shared" ref="U24" si="6">SUM(O24:T24)</f>
        <v>20</v>
      </c>
      <c r="V24" s="53">
        <f t="shared" ref="V24" si="7">31-U24</f>
        <v>11</v>
      </c>
    </row>
    <row r="25" spans="3:22" x14ac:dyDescent="0.25">
      <c r="C25" s="88">
        <v>44483</v>
      </c>
      <c r="D25" s="39" t="s">
        <v>26</v>
      </c>
      <c r="E25" s="58" t="s">
        <v>4</v>
      </c>
      <c r="F25" s="40" t="s">
        <v>1</v>
      </c>
      <c r="G25" s="57" t="s">
        <v>28</v>
      </c>
      <c r="H25" s="40" t="s">
        <v>8</v>
      </c>
      <c r="I25" s="57" t="s">
        <v>6</v>
      </c>
      <c r="J25" s="40" t="s">
        <v>12</v>
      </c>
      <c r="K25" s="57" t="s">
        <v>59</v>
      </c>
      <c r="L25" s="32"/>
    </row>
    <row r="26" spans="3:22" x14ac:dyDescent="0.25">
      <c r="C26" s="88">
        <v>44484</v>
      </c>
      <c r="D26" s="39" t="s">
        <v>26</v>
      </c>
      <c r="E26" s="58" t="s">
        <v>3</v>
      </c>
      <c r="F26" s="40" t="s">
        <v>1</v>
      </c>
      <c r="G26" s="57" t="s">
        <v>28</v>
      </c>
      <c r="H26" s="40" t="s">
        <v>0</v>
      </c>
      <c r="I26" s="57" t="s">
        <v>6</v>
      </c>
      <c r="J26" s="40" t="s">
        <v>12</v>
      </c>
      <c r="K26" s="57" t="s">
        <v>59</v>
      </c>
      <c r="L26" s="32"/>
      <c r="M26" s="35"/>
      <c r="N26" s="35"/>
      <c r="O26" s="35"/>
      <c r="P26" s="35"/>
      <c r="Q26" s="35"/>
    </row>
    <row r="27" spans="3:22" x14ac:dyDescent="0.25">
      <c r="C27" s="88">
        <v>44485</v>
      </c>
      <c r="D27" s="39" t="s">
        <v>26</v>
      </c>
      <c r="E27" s="58" t="s">
        <v>3</v>
      </c>
      <c r="F27" s="40" t="s">
        <v>1</v>
      </c>
      <c r="G27" s="57" t="s">
        <v>10</v>
      </c>
      <c r="H27" s="40" t="s">
        <v>0</v>
      </c>
      <c r="I27" s="57" t="s">
        <v>6</v>
      </c>
      <c r="J27" s="40" t="s">
        <v>27</v>
      </c>
      <c r="K27" s="57" t="s">
        <v>59</v>
      </c>
      <c r="L27" s="32"/>
      <c r="M27" s="35"/>
      <c r="N27" s="35" t="s">
        <v>72</v>
      </c>
      <c r="O27" s="35"/>
      <c r="P27" s="35"/>
      <c r="Q27" s="35"/>
    </row>
    <row r="28" spans="3:22" x14ac:dyDescent="0.25">
      <c r="C28" s="88">
        <v>44486</v>
      </c>
      <c r="D28" s="39" t="s">
        <v>8</v>
      </c>
      <c r="E28" s="58" t="s">
        <v>3</v>
      </c>
      <c r="F28" s="40" t="s">
        <v>1</v>
      </c>
      <c r="G28" s="57" t="s">
        <v>10</v>
      </c>
      <c r="H28" s="40" t="s">
        <v>0</v>
      </c>
      <c r="I28" s="57" t="s">
        <v>4</v>
      </c>
      <c r="J28" s="40" t="s">
        <v>27</v>
      </c>
      <c r="K28" s="57" t="s">
        <v>59</v>
      </c>
      <c r="L28" s="32"/>
      <c r="M28" s="35"/>
      <c r="N28" s="36" t="s">
        <v>73</v>
      </c>
      <c r="O28" s="35"/>
      <c r="P28" s="35"/>
      <c r="Q28" s="35"/>
    </row>
    <row r="29" spans="3:22" x14ac:dyDescent="0.25">
      <c r="C29" s="88">
        <v>44487</v>
      </c>
      <c r="D29" s="39" t="s">
        <v>8</v>
      </c>
      <c r="E29" s="58" t="s">
        <v>3</v>
      </c>
      <c r="F29" s="40" t="s">
        <v>12</v>
      </c>
      <c r="G29" s="57" t="s">
        <v>10</v>
      </c>
      <c r="H29" s="40" t="s">
        <v>0</v>
      </c>
      <c r="I29" s="57" t="s">
        <v>4</v>
      </c>
      <c r="J29" s="40" t="s">
        <v>27</v>
      </c>
      <c r="K29" s="57" t="s">
        <v>28</v>
      </c>
      <c r="L29" s="32"/>
      <c r="M29" s="35"/>
      <c r="N29" s="35"/>
      <c r="O29" s="35"/>
      <c r="P29" s="35"/>
      <c r="Q29" s="35"/>
    </row>
    <row r="30" spans="3:22" x14ac:dyDescent="0.25">
      <c r="C30" s="88">
        <v>44488</v>
      </c>
      <c r="D30" s="39" t="s">
        <v>8</v>
      </c>
      <c r="E30" s="58" t="s">
        <v>6</v>
      </c>
      <c r="F30" s="40" t="s">
        <v>12</v>
      </c>
      <c r="G30" s="57" t="s">
        <v>10</v>
      </c>
      <c r="H30" s="40" t="s">
        <v>26</v>
      </c>
      <c r="I30" s="57" t="s">
        <v>4</v>
      </c>
      <c r="J30" s="40" t="s">
        <v>27</v>
      </c>
      <c r="K30" s="57" t="s">
        <v>28</v>
      </c>
      <c r="L30" s="32"/>
    </row>
    <row r="31" spans="3:22" x14ac:dyDescent="0.25">
      <c r="C31" s="88">
        <v>44489</v>
      </c>
      <c r="D31" s="39" t="s">
        <v>8</v>
      </c>
      <c r="E31" s="58" t="s">
        <v>6</v>
      </c>
      <c r="F31" s="40" t="s">
        <v>12</v>
      </c>
      <c r="G31" s="57" t="s">
        <v>59</v>
      </c>
      <c r="H31" s="40" t="s">
        <v>26</v>
      </c>
      <c r="I31" s="57" t="s">
        <v>4</v>
      </c>
      <c r="J31" s="40" t="s">
        <v>1</v>
      </c>
      <c r="K31" s="57" t="s">
        <v>28</v>
      </c>
      <c r="L31" s="32"/>
      <c r="M31" s="37"/>
      <c r="N31" s="37"/>
      <c r="O31" s="37"/>
      <c r="P31" s="37"/>
      <c r="Q31" s="37"/>
      <c r="R31" s="37"/>
    </row>
    <row r="32" spans="3:22" x14ac:dyDescent="0.25">
      <c r="C32" s="88">
        <v>44490</v>
      </c>
      <c r="D32" s="39" t="s">
        <v>0</v>
      </c>
      <c r="E32" s="58" t="s">
        <v>6</v>
      </c>
      <c r="F32" s="40" t="s">
        <v>12</v>
      </c>
      <c r="G32" s="57" t="s">
        <v>59</v>
      </c>
      <c r="H32" s="40" t="s">
        <v>26</v>
      </c>
      <c r="I32" s="57" t="s">
        <v>3</v>
      </c>
      <c r="J32" s="40" t="s">
        <v>1</v>
      </c>
      <c r="K32" s="57" t="s">
        <v>28</v>
      </c>
      <c r="L32" s="32"/>
    </row>
    <row r="33" spans="3:12" x14ac:dyDescent="0.25">
      <c r="C33" s="88">
        <v>44491</v>
      </c>
      <c r="D33" s="39" t="s">
        <v>0</v>
      </c>
      <c r="E33" s="58" t="s">
        <v>6</v>
      </c>
      <c r="F33" s="40" t="s">
        <v>27</v>
      </c>
      <c r="G33" s="57" t="s">
        <v>59</v>
      </c>
      <c r="H33" s="40" t="s">
        <v>26</v>
      </c>
      <c r="I33" s="57" t="s">
        <v>3</v>
      </c>
      <c r="J33" s="40" t="s">
        <v>1</v>
      </c>
      <c r="K33" s="57" t="s">
        <v>10</v>
      </c>
      <c r="L33" s="34"/>
    </row>
    <row r="34" spans="3:12" x14ac:dyDescent="0.25">
      <c r="C34" s="88">
        <v>44492</v>
      </c>
      <c r="D34" s="39" t="s">
        <v>0</v>
      </c>
      <c r="E34" s="58" t="s">
        <v>4</v>
      </c>
      <c r="F34" s="40" t="s">
        <v>27</v>
      </c>
      <c r="G34" s="57" t="s">
        <v>59</v>
      </c>
      <c r="H34" s="40" t="s">
        <v>8</v>
      </c>
      <c r="I34" s="57" t="s">
        <v>3</v>
      </c>
      <c r="J34" s="40" t="s">
        <v>1</v>
      </c>
      <c r="K34" s="57" t="s">
        <v>10</v>
      </c>
      <c r="L34" s="32"/>
    </row>
    <row r="35" spans="3:12" x14ac:dyDescent="0.25">
      <c r="C35" s="88">
        <v>44493</v>
      </c>
      <c r="D35" s="39" t="s">
        <v>0</v>
      </c>
      <c r="E35" s="58" t="s">
        <v>4</v>
      </c>
      <c r="F35" s="40" t="s">
        <v>27</v>
      </c>
      <c r="G35" s="57" t="s">
        <v>28</v>
      </c>
      <c r="H35" s="40" t="s">
        <v>8</v>
      </c>
      <c r="I35" s="57" t="s">
        <v>3</v>
      </c>
      <c r="J35" s="40" t="s">
        <v>12</v>
      </c>
      <c r="K35" s="57" t="s">
        <v>10</v>
      </c>
      <c r="L35" s="32"/>
    </row>
    <row r="36" spans="3:12" x14ac:dyDescent="0.25">
      <c r="C36" s="88">
        <v>44494</v>
      </c>
      <c r="D36" s="39" t="s">
        <v>26</v>
      </c>
      <c r="E36" s="58" t="s">
        <v>4</v>
      </c>
      <c r="F36" s="40" t="s">
        <v>27</v>
      </c>
      <c r="G36" s="57" t="s">
        <v>28</v>
      </c>
      <c r="H36" s="40" t="s">
        <v>8</v>
      </c>
      <c r="I36" s="57" t="s">
        <v>6</v>
      </c>
      <c r="J36" s="40" t="s">
        <v>12</v>
      </c>
      <c r="K36" s="57" t="s">
        <v>10</v>
      </c>
      <c r="L36" s="32"/>
    </row>
    <row r="37" spans="3:12" x14ac:dyDescent="0.25">
      <c r="C37" s="88">
        <v>44495</v>
      </c>
      <c r="D37" s="39" t="s">
        <v>26</v>
      </c>
      <c r="E37" s="58" t="s">
        <v>4</v>
      </c>
      <c r="F37" s="40" t="s">
        <v>1</v>
      </c>
      <c r="G37" s="57" t="s">
        <v>28</v>
      </c>
      <c r="H37" s="40" t="s">
        <v>8</v>
      </c>
      <c r="I37" s="57" t="s">
        <v>6</v>
      </c>
      <c r="J37" s="40" t="s">
        <v>12</v>
      </c>
      <c r="K37" s="57" t="s">
        <v>59</v>
      </c>
      <c r="L37" s="32"/>
    </row>
    <row r="38" spans="3:12" x14ac:dyDescent="0.25">
      <c r="C38" s="88">
        <v>44496</v>
      </c>
      <c r="D38" s="39" t="s">
        <v>26</v>
      </c>
      <c r="E38" s="58" t="s">
        <v>3</v>
      </c>
      <c r="F38" s="40" t="s">
        <v>1</v>
      </c>
      <c r="G38" s="57" t="s">
        <v>28</v>
      </c>
      <c r="H38" s="40" t="s">
        <v>0</v>
      </c>
      <c r="I38" s="57" t="s">
        <v>6</v>
      </c>
      <c r="J38" s="40" t="s">
        <v>12</v>
      </c>
      <c r="K38" s="57" t="s">
        <v>59</v>
      </c>
      <c r="L38" s="32"/>
    </row>
    <row r="39" spans="3:12" x14ac:dyDescent="0.25">
      <c r="C39" s="88">
        <v>44497</v>
      </c>
      <c r="D39" s="39" t="s">
        <v>26</v>
      </c>
      <c r="E39" s="58" t="s">
        <v>3</v>
      </c>
      <c r="F39" s="40" t="s">
        <v>1</v>
      </c>
      <c r="G39" s="57" t="s">
        <v>10</v>
      </c>
      <c r="H39" s="40" t="s">
        <v>0</v>
      </c>
      <c r="I39" s="57" t="s">
        <v>6</v>
      </c>
      <c r="J39" s="40" t="s">
        <v>27</v>
      </c>
      <c r="K39" s="57" t="s">
        <v>59</v>
      </c>
      <c r="L39" s="32"/>
    </row>
    <row r="40" spans="3:12" x14ac:dyDescent="0.25">
      <c r="C40" s="88">
        <v>44498</v>
      </c>
      <c r="D40" s="39" t="s">
        <v>8</v>
      </c>
      <c r="E40" s="58" t="s">
        <v>3</v>
      </c>
      <c r="F40" s="40" t="s">
        <v>1</v>
      </c>
      <c r="G40" s="57" t="s">
        <v>10</v>
      </c>
      <c r="H40" s="40" t="s">
        <v>0</v>
      </c>
      <c r="I40" s="57" t="s">
        <v>4</v>
      </c>
      <c r="J40" s="40" t="s">
        <v>27</v>
      </c>
      <c r="K40" s="57" t="s">
        <v>59</v>
      </c>
      <c r="L40" s="32"/>
    </row>
    <row r="41" spans="3:12" x14ac:dyDescent="0.25">
      <c r="C41" s="88">
        <v>44499</v>
      </c>
      <c r="D41" s="39" t="s">
        <v>8</v>
      </c>
      <c r="E41" s="58" t="s">
        <v>3</v>
      </c>
      <c r="F41" s="40" t="s">
        <v>12</v>
      </c>
      <c r="G41" s="57" t="s">
        <v>10</v>
      </c>
      <c r="H41" s="40" t="s">
        <v>0</v>
      </c>
      <c r="I41" s="57" t="s">
        <v>4</v>
      </c>
      <c r="J41" s="40" t="s">
        <v>27</v>
      </c>
      <c r="K41" s="57" t="s">
        <v>28</v>
      </c>
      <c r="L41" s="32"/>
    </row>
    <row r="42" spans="3:12" x14ac:dyDescent="0.25">
      <c r="C42" s="88">
        <v>44500</v>
      </c>
      <c r="D42" s="39" t="s">
        <v>8</v>
      </c>
      <c r="E42" s="58" t="s">
        <v>6</v>
      </c>
      <c r="F42" s="40" t="s">
        <v>12</v>
      </c>
      <c r="G42" s="57" t="s">
        <v>10</v>
      </c>
      <c r="H42" s="40" t="s">
        <v>26</v>
      </c>
      <c r="I42" s="57" t="s">
        <v>4</v>
      </c>
      <c r="J42" s="40" t="s">
        <v>27</v>
      </c>
      <c r="K42" s="57" t="s">
        <v>28</v>
      </c>
      <c r="L42" s="32"/>
    </row>
    <row r="43" spans="3:12" x14ac:dyDescent="0.25">
      <c r="C43" s="36"/>
      <c r="D43" s="38"/>
      <c r="E43" s="38"/>
      <c r="F43" s="38"/>
      <c r="G43" s="38"/>
      <c r="H43" s="38"/>
      <c r="I43" s="38"/>
    </row>
  </sheetData>
  <autoFilter ref="B11:V42" xr:uid="{00000000-0009-0000-0000-00000B000000}">
    <filterColumn colId="0" showButton="0"/>
  </autoFilter>
  <mergeCells count="2">
    <mergeCell ref="C2:D2"/>
    <mergeCell ref="E2:F2"/>
  </mergeCells>
  <pageMargins left="0.25" right="0.25" top="0.75" bottom="0.75" header="0.3" footer="0.3"/>
  <pageSetup paperSize="9" scale="74" orientation="landscape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B1:X43"/>
  <sheetViews>
    <sheetView showGridLines="0" topLeftCell="A7" zoomScaleNormal="100" workbookViewId="0">
      <selection activeCell="J12" sqref="J12:U42"/>
    </sheetView>
  </sheetViews>
  <sheetFormatPr defaultColWidth="9.140625" defaultRowHeight="15" x14ac:dyDescent="0.25"/>
  <cols>
    <col min="1" max="1" width="2.42578125" style="2" customWidth="1"/>
    <col min="2" max="2" width="11.5703125" bestFit="1" customWidth="1"/>
    <col min="3" max="3" width="12.5703125" style="2" customWidth="1"/>
    <col min="4" max="7" width="13.7109375" style="27" customWidth="1"/>
    <col min="8" max="8" width="4.7109375" style="2" customWidth="1"/>
    <col min="9" max="9" width="8.85546875"/>
    <col min="10" max="10" width="14.5703125" bestFit="1" customWidth="1"/>
    <col min="11" max="13" width="8.85546875"/>
    <col min="14" max="14" width="9.140625" customWidth="1"/>
    <col min="15" max="24" width="8.85546875" customWidth="1"/>
    <col min="25" max="16384" width="9.140625" style="2"/>
  </cols>
  <sheetData>
    <row r="1" spans="3:17" x14ac:dyDescent="0.25">
      <c r="G1"/>
    </row>
    <row r="2" spans="3:17" ht="15" customHeight="1" x14ac:dyDescent="0.25">
      <c r="C2" s="93" t="s">
        <v>22</v>
      </c>
      <c r="D2" s="93" t="s">
        <v>23</v>
      </c>
      <c r="E2"/>
      <c r="F2" s="2"/>
      <c r="G2" s="2"/>
    </row>
    <row r="3" spans="3:17" ht="15" customHeight="1" x14ac:dyDescent="0.25">
      <c r="C3" s="67" t="s">
        <v>26</v>
      </c>
      <c r="D3" s="66" t="s">
        <v>3</v>
      </c>
      <c r="E3"/>
      <c r="F3" s="2"/>
      <c r="G3" s="2"/>
    </row>
    <row r="4" spans="3:17" ht="15" customHeight="1" x14ac:dyDescent="0.25">
      <c r="C4" s="67" t="s">
        <v>1</v>
      </c>
      <c r="D4" s="66" t="s">
        <v>10</v>
      </c>
      <c r="E4"/>
      <c r="F4" s="2"/>
      <c r="G4" s="2"/>
    </row>
    <row r="5" spans="3:17" x14ac:dyDescent="0.25">
      <c r="C5" s="67" t="s">
        <v>0</v>
      </c>
      <c r="D5" s="66" t="s">
        <v>4</v>
      </c>
      <c r="E5"/>
      <c r="F5" s="2"/>
      <c r="G5" s="2"/>
    </row>
    <row r="6" spans="3:17" x14ac:dyDescent="0.25">
      <c r="C6" s="67" t="s">
        <v>27</v>
      </c>
      <c r="D6" s="66" t="s">
        <v>28</v>
      </c>
      <c r="E6" s="87"/>
      <c r="F6" s="2"/>
      <c r="G6" s="2"/>
    </row>
    <row r="7" spans="3:17" x14ac:dyDescent="0.25">
      <c r="C7" s="67" t="s">
        <v>8</v>
      </c>
      <c r="D7" s="66" t="s">
        <v>6</v>
      </c>
      <c r="E7" s="87"/>
      <c r="F7" s="2"/>
      <c r="G7" s="2"/>
    </row>
    <row r="8" spans="3:17" x14ac:dyDescent="0.25">
      <c r="C8" s="67" t="s">
        <v>12</v>
      </c>
      <c r="D8" s="66" t="s">
        <v>59</v>
      </c>
      <c r="E8" s="6"/>
      <c r="F8" s="2"/>
      <c r="G8" s="2"/>
    </row>
    <row r="9" spans="3:17" x14ac:dyDescent="0.25">
      <c r="C9" s="3"/>
      <c r="D9" s="6"/>
      <c r="F9" s="6"/>
      <c r="G9" s="6"/>
    </row>
    <row r="10" spans="3:17" x14ac:dyDescent="0.25">
      <c r="C10" s="28"/>
      <c r="D10" s="29"/>
      <c r="E10" s="29"/>
      <c r="F10" s="29"/>
      <c r="G10" s="29"/>
    </row>
    <row r="11" spans="3:17" ht="15.75" customHeight="1" x14ac:dyDescent="0.25">
      <c r="C11" s="45" t="s">
        <v>39</v>
      </c>
      <c r="D11" s="46" t="s">
        <v>53</v>
      </c>
      <c r="E11" s="46" t="s">
        <v>54</v>
      </c>
      <c r="F11" s="46" t="s">
        <v>55</v>
      </c>
      <c r="G11" s="46" t="s">
        <v>56</v>
      </c>
    </row>
    <row r="12" spans="3:17" x14ac:dyDescent="0.25">
      <c r="C12" s="88">
        <v>44470</v>
      </c>
      <c r="D12" s="39" t="s">
        <v>26</v>
      </c>
      <c r="E12" s="40" t="s">
        <v>1</v>
      </c>
      <c r="F12" s="40" t="s">
        <v>27</v>
      </c>
      <c r="G12" s="40" t="s">
        <v>8</v>
      </c>
      <c r="H12" s="30"/>
    </row>
    <row r="13" spans="3:17" x14ac:dyDescent="0.25">
      <c r="C13" s="88">
        <v>44471</v>
      </c>
      <c r="D13" s="39" t="s">
        <v>26</v>
      </c>
      <c r="E13" s="40" t="s">
        <v>0</v>
      </c>
      <c r="F13" s="40" t="s">
        <v>27</v>
      </c>
      <c r="G13" s="40" t="s">
        <v>8</v>
      </c>
    </row>
    <row r="14" spans="3:17" x14ac:dyDescent="0.25">
      <c r="C14" s="88">
        <v>44472</v>
      </c>
      <c r="D14" s="39" t="s">
        <v>1</v>
      </c>
      <c r="E14" s="40" t="s">
        <v>0</v>
      </c>
      <c r="F14" s="40" t="s">
        <v>27</v>
      </c>
      <c r="G14" s="40" t="s">
        <v>8</v>
      </c>
      <c r="H14" s="32"/>
    </row>
    <row r="15" spans="3:17" ht="15.75" thickBot="1" x14ac:dyDescent="0.3">
      <c r="C15" s="88">
        <v>44473</v>
      </c>
      <c r="D15" s="39" t="s">
        <v>1</v>
      </c>
      <c r="E15" s="40" t="s">
        <v>0</v>
      </c>
      <c r="F15" s="40" t="s">
        <v>27</v>
      </c>
      <c r="G15" s="40" t="s">
        <v>26</v>
      </c>
      <c r="H15" s="32"/>
    </row>
    <row r="16" spans="3:17" ht="15.75" thickBot="1" x14ac:dyDescent="0.3">
      <c r="C16" s="88">
        <v>44474</v>
      </c>
      <c r="D16" s="39" t="s">
        <v>1</v>
      </c>
      <c r="E16" s="40" t="s">
        <v>0</v>
      </c>
      <c r="F16" s="40" t="s">
        <v>8</v>
      </c>
      <c r="G16" s="40" t="s">
        <v>26</v>
      </c>
      <c r="H16" s="32"/>
      <c r="J16" s="219" t="s">
        <v>75</v>
      </c>
      <c r="K16" s="220"/>
      <c r="L16" s="220"/>
      <c r="M16" s="220"/>
      <c r="N16" s="220"/>
      <c r="O16" s="220"/>
      <c r="P16" s="220"/>
      <c r="Q16" s="221"/>
    </row>
    <row r="17" spans="3:8" x14ac:dyDescent="0.25">
      <c r="C17" s="88">
        <v>44475</v>
      </c>
      <c r="D17" s="39" t="s">
        <v>1</v>
      </c>
      <c r="E17" s="40" t="s">
        <v>27</v>
      </c>
      <c r="F17" s="40" t="s">
        <v>8</v>
      </c>
      <c r="G17" s="40" t="s">
        <v>26</v>
      </c>
      <c r="H17" s="33"/>
    </row>
    <row r="18" spans="3:8" x14ac:dyDescent="0.25">
      <c r="C18" s="88">
        <v>44476</v>
      </c>
      <c r="D18" s="39" t="s">
        <v>0</v>
      </c>
      <c r="E18" s="40" t="s">
        <v>27</v>
      </c>
      <c r="F18" s="40" t="s">
        <v>8</v>
      </c>
      <c r="G18" s="40" t="s">
        <v>26</v>
      </c>
      <c r="H18" s="32"/>
    </row>
    <row r="19" spans="3:8" x14ac:dyDescent="0.25">
      <c r="C19" s="88">
        <v>44477</v>
      </c>
      <c r="D19" s="39" t="s">
        <v>0</v>
      </c>
      <c r="E19" s="40" t="s">
        <v>27</v>
      </c>
      <c r="F19" s="40" t="s">
        <v>8</v>
      </c>
      <c r="G19" s="40" t="s">
        <v>1</v>
      </c>
      <c r="H19" s="32"/>
    </row>
    <row r="20" spans="3:8" x14ac:dyDescent="0.25">
      <c r="C20" s="88">
        <v>44478</v>
      </c>
      <c r="D20" s="39" t="s">
        <v>0</v>
      </c>
      <c r="E20" s="40" t="s">
        <v>27</v>
      </c>
      <c r="F20" s="40" t="s">
        <v>26</v>
      </c>
      <c r="G20" s="40" t="s">
        <v>1</v>
      </c>
      <c r="H20" s="32"/>
    </row>
    <row r="21" spans="3:8" x14ac:dyDescent="0.25">
      <c r="C21" s="88">
        <v>44479</v>
      </c>
      <c r="D21" s="39" t="s">
        <v>0</v>
      </c>
      <c r="E21" s="40" t="s">
        <v>8</v>
      </c>
      <c r="F21" s="40" t="s">
        <v>26</v>
      </c>
      <c r="G21" s="40" t="s">
        <v>1</v>
      </c>
      <c r="H21" s="34"/>
    </row>
    <row r="22" spans="3:8" x14ac:dyDescent="0.25">
      <c r="C22" s="88">
        <v>44480</v>
      </c>
      <c r="D22" s="39" t="s">
        <v>27</v>
      </c>
      <c r="E22" s="40" t="s">
        <v>8</v>
      </c>
      <c r="F22" s="40" t="s">
        <v>26</v>
      </c>
      <c r="G22" s="40" t="s">
        <v>1</v>
      </c>
      <c r="H22" s="32"/>
    </row>
    <row r="23" spans="3:8" x14ac:dyDescent="0.25">
      <c r="C23" s="88">
        <v>44481</v>
      </c>
      <c r="D23" s="39" t="s">
        <v>27</v>
      </c>
      <c r="E23" s="40" t="s">
        <v>8</v>
      </c>
      <c r="F23" s="40" t="s">
        <v>26</v>
      </c>
      <c r="G23" s="40" t="s">
        <v>0</v>
      </c>
      <c r="H23" s="33"/>
    </row>
    <row r="24" spans="3:8" x14ac:dyDescent="0.25">
      <c r="C24" s="88">
        <v>44482</v>
      </c>
      <c r="D24" s="39" t="s">
        <v>27</v>
      </c>
      <c r="E24" s="40" t="s">
        <v>8</v>
      </c>
      <c r="F24" s="40" t="s">
        <v>1</v>
      </c>
      <c r="G24" s="40" t="s">
        <v>0</v>
      </c>
      <c r="H24" s="33"/>
    </row>
    <row r="25" spans="3:8" x14ac:dyDescent="0.25">
      <c r="C25" s="88">
        <v>44483</v>
      </c>
      <c r="D25" s="39" t="s">
        <v>27</v>
      </c>
      <c r="E25" s="40" t="s">
        <v>26</v>
      </c>
      <c r="F25" s="40" t="s">
        <v>1</v>
      </c>
      <c r="G25" s="40" t="s">
        <v>0</v>
      </c>
      <c r="H25" s="32"/>
    </row>
    <row r="26" spans="3:8" x14ac:dyDescent="0.25">
      <c r="C26" s="88">
        <v>44484</v>
      </c>
      <c r="D26" s="39" t="s">
        <v>8</v>
      </c>
      <c r="E26" s="40" t="s">
        <v>26</v>
      </c>
      <c r="F26" s="40" t="s">
        <v>1</v>
      </c>
      <c r="G26" s="40" t="s">
        <v>0</v>
      </c>
      <c r="H26" s="32"/>
    </row>
    <row r="27" spans="3:8" x14ac:dyDescent="0.25">
      <c r="C27" s="88">
        <v>44485</v>
      </c>
      <c r="D27" s="39" t="s">
        <v>8</v>
      </c>
      <c r="E27" s="40" t="s">
        <v>26</v>
      </c>
      <c r="F27" s="40" t="s">
        <v>1</v>
      </c>
      <c r="G27" s="40" t="s">
        <v>27</v>
      </c>
      <c r="H27" s="32"/>
    </row>
    <row r="28" spans="3:8" x14ac:dyDescent="0.25">
      <c r="C28" s="88">
        <v>44486</v>
      </c>
      <c r="D28" s="39" t="s">
        <v>8</v>
      </c>
      <c r="E28" s="40" t="s">
        <v>26</v>
      </c>
      <c r="F28" s="40" t="s">
        <v>0</v>
      </c>
      <c r="G28" s="40" t="s">
        <v>27</v>
      </c>
      <c r="H28" s="32"/>
    </row>
    <row r="29" spans="3:8" x14ac:dyDescent="0.25">
      <c r="C29" s="88">
        <v>44487</v>
      </c>
      <c r="D29" s="39" t="s">
        <v>8</v>
      </c>
      <c r="E29" s="40" t="s">
        <v>1</v>
      </c>
      <c r="F29" s="40" t="s">
        <v>0</v>
      </c>
      <c r="G29" s="40" t="s">
        <v>27</v>
      </c>
      <c r="H29" s="32"/>
    </row>
    <row r="30" spans="3:8" x14ac:dyDescent="0.25">
      <c r="C30" s="88">
        <v>44488</v>
      </c>
      <c r="D30" s="39" t="s">
        <v>26</v>
      </c>
      <c r="E30" s="40" t="s">
        <v>1</v>
      </c>
      <c r="F30" s="40" t="s">
        <v>0</v>
      </c>
      <c r="G30" s="40" t="s">
        <v>27</v>
      </c>
      <c r="H30" s="32"/>
    </row>
    <row r="31" spans="3:8" x14ac:dyDescent="0.25">
      <c r="C31" s="88">
        <v>44489</v>
      </c>
      <c r="D31" s="39" t="s">
        <v>26</v>
      </c>
      <c r="E31" s="40" t="s">
        <v>1</v>
      </c>
      <c r="F31" s="40" t="s">
        <v>0</v>
      </c>
      <c r="G31" s="40" t="s">
        <v>8</v>
      </c>
      <c r="H31" s="32"/>
    </row>
    <row r="32" spans="3:8" x14ac:dyDescent="0.25">
      <c r="C32" s="88">
        <v>44490</v>
      </c>
      <c r="D32" s="39" t="s">
        <v>26</v>
      </c>
      <c r="E32" s="40" t="s">
        <v>1</v>
      </c>
      <c r="F32" s="40" t="s">
        <v>27</v>
      </c>
      <c r="G32" s="40" t="s">
        <v>8</v>
      </c>
      <c r="H32" s="32"/>
    </row>
    <row r="33" spans="3:8" x14ac:dyDescent="0.25">
      <c r="C33" s="88">
        <v>44491</v>
      </c>
      <c r="D33" s="39" t="s">
        <v>26</v>
      </c>
      <c r="E33" s="40" t="s">
        <v>0</v>
      </c>
      <c r="F33" s="40" t="s">
        <v>27</v>
      </c>
      <c r="G33" s="40" t="s">
        <v>8</v>
      </c>
      <c r="H33" s="34"/>
    </row>
    <row r="34" spans="3:8" x14ac:dyDescent="0.25">
      <c r="C34" s="88">
        <v>44492</v>
      </c>
      <c r="D34" s="39" t="s">
        <v>1</v>
      </c>
      <c r="E34" s="40" t="s">
        <v>0</v>
      </c>
      <c r="F34" s="40" t="s">
        <v>27</v>
      </c>
      <c r="G34" s="40" t="s">
        <v>8</v>
      </c>
      <c r="H34" s="32"/>
    </row>
    <row r="35" spans="3:8" x14ac:dyDescent="0.25">
      <c r="C35" s="88">
        <v>44493</v>
      </c>
      <c r="D35" s="39" t="s">
        <v>1</v>
      </c>
      <c r="E35" s="40" t="s">
        <v>0</v>
      </c>
      <c r="F35" s="40" t="s">
        <v>27</v>
      </c>
      <c r="G35" s="40" t="s">
        <v>26</v>
      </c>
      <c r="H35" s="32"/>
    </row>
    <row r="36" spans="3:8" x14ac:dyDescent="0.25">
      <c r="C36" s="88">
        <v>44494</v>
      </c>
      <c r="D36" s="39" t="s">
        <v>1</v>
      </c>
      <c r="E36" s="40" t="s">
        <v>0</v>
      </c>
      <c r="F36" s="40" t="s">
        <v>8</v>
      </c>
      <c r="G36" s="40" t="s">
        <v>26</v>
      </c>
      <c r="H36" s="32"/>
    </row>
    <row r="37" spans="3:8" x14ac:dyDescent="0.25">
      <c r="C37" s="88">
        <v>44495</v>
      </c>
      <c r="D37" s="39" t="s">
        <v>1</v>
      </c>
      <c r="E37" s="40" t="s">
        <v>27</v>
      </c>
      <c r="F37" s="40" t="s">
        <v>8</v>
      </c>
      <c r="G37" s="40" t="s">
        <v>26</v>
      </c>
      <c r="H37" s="32"/>
    </row>
    <row r="38" spans="3:8" x14ac:dyDescent="0.25">
      <c r="C38" s="88">
        <v>44496</v>
      </c>
      <c r="D38" s="39" t="s">
        <v>0</v>
      </c>
      <c r="E38" s="40" t="s">
        <v>27</v>
      </c>
      <c r="F38" s="40" t="s">
        <v>8</v>
      </c>
      <c r="G38" s="40" t="s">
        <v>26</v>
      </c>
      <c r="H38" s="32"/>
    </row>
    <row r="39" spans="3:8" x14ac:dyDescent="0.25">
      <c r="C39" s="88">
        <v>44497</v>
      </c>
      <c r="D39" s="39" t="s">
        <v>0</v>
      </c>
      <c r="E39" s="40" t="s">
        <v>27</v>
      </c>
      <c r="F39" s="40" t="s">
        <v>8</v>
      </c>
      <c r="G39" s="40" t="s">
        <v>1</v>
      </c>
      <c r="H39" s="32"/>
    </row>
    <row r="40" spans="3:8" x14ac:dyDescent="0.25">
      <c r="C40" s="88">
        <v>44498</v>
      </c>
      <c r="D40" s="39" t="s">
        <v>0</v>
      </c>
      <c r="E40" s="40" t="s">
        <v>27</v>
      </c>
      <c r="F40" s="40" t="s">
        <v>26</v>
      </c>
      <c r="G40" s="40" t="s">
        <v>1</v>
      </c>
      <c r="H40" s="32"/>
    </row>
    <row r="41" spans="3:8" x14ac:dyDescent="0.25">
      <c r="C41" s="88">
        <v>44499</v>
      </c>
      <c r="D41" s="39" t="s">
        <v>0</v>
      </c>
      <c r="E41" s="40" t="s">
        <v>8</v>
      </c>
      <c r="F41" s="40" t="s">
        <v>26</v>
      </c>
      <c r="G41" s="40" t="s">
        <v>1</v>
      </c>
      <c r="H41" s="32"/>
    </row>
    <row r="42" spans="3:8" x14ac:dyDescent="0.25">
      <c r="C42" s="88">
        <v>44500</v>
      </c>
      <c r="D42" s="39" t="s">
        <v>27</v>
      </c>
      <c r="E42" s="40" t="s">
        <v>8</v>
      </c>
      <c r="F42" s="40" t="s">
        <v>26</v>
      </c>
      <c r="G42" s="40" t="s">
        <v>1</v>
      </c>
      <c r="H42" s="32"/>
    </row>
    <row r="43" spans="3:8" x14ac:dyDescent="0.25">
      <c r="C43" s="36"/>
      <c r="D43" s="38"/>
      <c r="E43" s="38"/>
      <c r="F43" s="38"/>
    </row>
  </sheetData>
  <autoFilter ref="B11:R42" xr:uid="{00000000-0009-0000-0000-00000C000000}">
    <filterColumn colId="0" showButton="0"/>
  </autoFilter>
  <mergeCells count="1">
    <mergeCell ref="J16:Q16"/>
  </mergeCells>
  <pageMargins left="0.25" right="0.25" top="0.75" bottom="0.75" header="0.3" footer="0.3"/>
  <pageSetup paperSize="9" scale="74" orientation="landscape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B1:V43"/>
  <sheetViews>
    <sheetView showGridLines="0" topLeftCell="A10" zoomScaleNormal="100" workbookViewId="0">
      <selection activeCell="J12" sqref="J12:U42"/>
    </sheetView>
  </sheetViews>
  <sheetFormatPr defaultColWidth="9.140625" defaultRowHeight="15" x14ac:dyDescent="0.25"/>
  <cols>
    <col min="1" max="1" width="2.42578125" style="2" customWidth="1"/>
    <col min="2" max="2" width="11.5703125" bestFit="1" customWidth="1"/>
    <col min="3" max="3" width="12.5703125" style="2" customWidth="1"/>
    <col min="4" max="11" width="13.7109375" style="27" customWidth="1"/>
    <col min="12" max="12" width="4.7109375" style="2" customWidth="1"/>
    <col min="13" max="13" width="9.140625" style="2"/>
    <col min="14" max="14" width="14.5703125" style="2" bestFit="1" customWidth="1"/>
    <col min="15" max="17" width="9.140625" style="2"/>
    <col min="18" max="18" width="9.140625" style="2" customWidth="1"/>
    <col min="19" max="21" width="9.140625" style="2"/>
    <col min="22" max="22" width="9.140625" style="1"/>
    <col min="23" max="16384" width="9.140625" style="2"/>
  </cols>
  <sheetData>
    <row r="1" spans="3:22" x14ac:dyDescent="0.25">
      <c r="K1"/>
    </row>
    <row r="2" spans="3:22" ht="15" customHeight="1" x14ac:dyDescent="0.25">
      <c r="C2" s="191" t="s">
        <v>22</v>
      </c>
      <c r="D2" s="191"/>
      <c r="E2" s="191" t="s">
        <v>23</v>
      </c>
      <c r="F2" s="191"/>
      <c r="G2"/>
      <c r="H2"/>
      <c r="I2" s="2"/>
      <c r="J2" s="2"/>
      <c r="K2" s="2"/>
      <c r="S2" s="1"/>
      <c r="V2" s="2"/>
    </row>
    <row r="3" spans="3:22" ht="15" customHeight="1" x14ac:dyDescent="0.25">
      <c r="C3" s="67" t="s">
        <v>26</v>
      </c>
      <c r="D3" s="65" t="s">
        <v>20</v>
      </c>
      <c r="E3" s="66" t="s">
        <v>3</v>
      </c>
      <c r="F3" s="65" t="s">
        <v>2</v>
      </c>
      <c r="G3"/>
      <c r="H3" s="2"/>
      <c r="I3" s="2"/>
      <c r="J3" s="2"/>
      <c r="K3" s="2"/>
      <c r="R3" s="1"/>
      <c r="V3" s="2"/>
    </row>
    <row r="4" spans="3:22" ht="15" customHeight="1" x14ac:dyDescent="0.25">
      <c r="C4" s="67" t="s">
        <v>1</v>
      </c>
      <c r="D4" s="65" t="s">
        <v>21</v>
      </c>
      <c r="E4" s="66" t="s">
        <v>10</v>
      </c>
      <c r="F4" s="65" t="s">
        <v>7</v>
      </c>
      <c r="G4"/>
      <c r="H4" s="2"/>
      <c r="I4" s="2"/>
      <c r="J4" s="2"/>
      <c r="K4" s="2"/>
      <c r="R4" s="1"/>
      <c r="V4" s="2"/>
    </row>
    <row r="5" spans="3:22" x14ac:dyDescent="0.25">
      <c r="C5" s="67" t="s">
        <v>0</v>
      </c>
      <c r="D5" s="65" t="s">
        <v>5</v>
      </c>
      <c r="E5" s="66" t="s">
        <v>4</v>
      </c>
      <c r="F5" s="65" t="s">
        <v>69</v>
      </c>
      <c r="G5"/>
      <c r="H5" s="2"/>
      <c r="I5" s="2"/>
      <c r="J5" s="2"/>
      <c r="K5" s="2"/>
      <c r="R5" s="1"/>
      <c r="V5" s="2"/>
    </row>
    <row r="6" spans="3:22" x14ac:dyDescent="0.25">
      <c r="C6" s="67" t="s">
        <v>27</v>
      </c>
      <c r="D6" s="65" t="s">
        <v>9</v>
      </c>
      <c r="E6" s="66" t="s">
        <v>28</v>
      </c>
      <c r="F6" s="65" t="s">
        <v>25</v>
      </c>
      <c r="G6" s="87"/>
      <c r="H6" s="2"/>
      <c r="I6" s="2"/>
      <c r="J6" s="2"/>
      <c r="K6" s="2"/>
      <c r="R6" s="1"/>
      <c r="V6" s="2"/>
    </row>
    <row r="7" spans="3:22" x14ac:dyDescent="0.25">
      <c r="C7" s="67" t="s">
        <v>8</v>
      </c>
      <c r="D7" s="65" t="s">
        <v>11</v>
      </c>
      <c r="E7" s="66" t="s">
        <v>6</v>
      </c>
      <c r="F7" s="65" t="s">
        <v>70</v>
      </c>
      <c r="G7" s="87"/>
      <c r="H7" s="2"/>
      <c r="I7" s="2"/>
      <c r="J7" s="2"/>
      <c r="K7" s="2"/>
      <c r="R7" s="1"/>
      <c r="V7" s="2"/>
    </row>
    <row r="8" spans="3:22" x14ac:dyDescent="0.25">
      <c r="C8" s="67" t="s">
        <v>12</v>
      </c>
      <c r="D8" s="65" t="s">
        <v>13</v>
      </c>
      <c r="E8" s="66" t="s">
        <v>59</v>
      </c>
      <c r="F8" s="65" t="s">
        <v>71</v>
      </c>
      <c r="G8" s="6"/>
      <c r="H8" s="2"/>
      <c r="I8" s="2"/>
      <c r="J8" s="2"/>
      <c r="K8" s="2"/>
      <c r="R8" s="1"/>
      <c r="V8" s="2"/>
    </row>
    <row r="9" spans="3:22" x14ac:dyDescent="0.25">
      <c r="C9" s="3"/>
      <c r="D9" s="6"/>
      <c r="E9" s="6"/>
      <c r="H9" s="6"/>
      <c r="I9" s="6"/>
      <c r="J9" s="6"/>
      <c r="K9" s="6"/>
      <c r="V9" s="1" t="s">
        <v>60</v>
      </c>
    </row>
    <row r="10" spans="3:22" x14ac:dyDescent="0.25">
      <c r="C10" s="28"/>
      <c r="D10" s="29"/>
      <c r="E10" s="29"/>
      <c r="F10" s="29"/>
      <c r="G10" s="29"/>
      <c r="H10" s="29"/>
      <c r="I10" s="29"/>
      <c r="J10" s="29"/>
      <c r="K10" s="29"/>
    </row>
    <row r="11" spans="3:22" ht="15.75" customHeight="1" x14ac:dyDescent="0.25">
      <c r="C11" s="45" t="s">
        <v>39</v>
      </c>
      <c r="D11" s="46" t="s">
        <v>53</v>
      </c>
      <c r="E11" s="46" t="s">
        <v>53</v>
      </c>
      <c r="F11" s="46" t="s">
        <v>54</v>
      </c>
      <c r="G11" s="46" t="s">
        <v>54</v>
      </c>
      <c r="H11" s="46" t="s">
        <v>55</v>
      </c>
      <c r="I11" s="46" t="s">
        <v>55</v>
      </c>
      <c r="J11" s="46" t="s">
        <v>56</v>
      </c>
      <c r="K11" s="46" t="s">
        <v>56</v>
      </c>
    </row>
    <row r="12" spans="3:22" ht="15.75" x14ac:dyDescent="0.25">
      <c r="C12" s="88">
        <v>44470</v>
      </c>
      <c r="D12" s="39" t="s">
        <v>26</v>
      </c>
      <c r="E12" s="58" t="s">
        <v>3</v>
      </c>
      <c r="F12" s="40" t="s">
        <v>27</v>
      </c>
      <c r="G12" s="57" t="s">
        <v>28</v>
      </c>
      <c r="H12" s="40" t="s">
        <v>0</v>
      </c>
      <c r="I12" s="57" t="s">
        <v>4</v>
      </c>
      <c r="J12" s="40" t="s">
        <v>1</v>
      </c>
      <c r="K12" s="57" t="s">
        <v>10</v>
      </c>
      <c r="L12" s="30"/>
      <c r="M12" s="4" t="s">
        <v>44</v>
      </c>
      <c r="N12" s="4" t="s">
        <v>43</v>
      </c>
      <c r="O12" s="4" t="s">
        <v>15</v>
      </c>
      <c r="P12" s="4" t="s">
        <v>16</v>
      </c>
      <c r="Q12" s="4" t="s">
        <v>17</v>
      </c>
      <c r="R12" s="4" t="s">
        <v>18</v>
      </c>
      <c r="S12" s="4"/>
      <c r="T12" s="4"/>
      <c r="U12" s="4" t="s">
        <v>57</v>
      </c>
      <c r="V12" s="31" t="s">
        <v>58</v>
      </c>
    </row>
    <row r="13" spans="3:22" ht="15.75" x14ac:dyDescent="0.25">
      <c r="C13" s="88">
        <v>44471</v>
      </c>
      <c r="D13" s="39" t="s">
        <v>26</v>
      </c>
      <c r="E13" s="58" t="s">
        <v>3</v>
      </c>
      <c r="F13" s="40" t="s">
        <v>27</v>
      </c>
      <c r="G13" s="57" t="s">
        <v>28</v>
      </c>
      <c r="H13" s="40" t="s">
        <v>0</v>
      </c>
      <c r="I13" s="57" t="s">
        <v>4</v>
      </c>
      <c r="J13" s="40" t="s">
        <v>8</v>
      </c>
      <c r="K13" s="57" t="s">
        <v>6</v>
      </c>
      <c r="M13" s="47" t="s">
        <v>26</v>
      </c>
      <c r="N13" s="41" t="str">
        <f t="shared" ref="N13:N18" si="0">D3</f>
        <v>B.Selayaran</v>
      </c>
      <c r="O13" s="42">
        <f>COUNTIF($D$12:$D$42,"A")</f>
        <v>8</v>
      </c>
      <c r="P13" s="42">
        <f>COUNTIF($F$12:$F$42,"A")</f>
        <v>5</v>
      </c>
      <c r="Q13" s="42">
        <f>COUNTIF($H$12:$H$42,"A")</f>
        <v>4</v>
      </c>
      <c r="R13" s="42">
        <f>COUNTIF($J$12:$J$42,"A")</f>
        <v>8</v>
      </c>
      <c r="S13" s="43"/>
      <c r="T13" s="43"/>
      <c r="U13" s="43">
        <f t="shared" ref="U13:U23" si="1">SUM(O13:T13)</f>
        <v>25</v>
      </c>
      <c r="V13" s="42">
        <f>31-U13</f>
        <v>6</v>
      </c>
    </row>
    <row r="14" spans="3:22" ht="15.75" x14ac:dyDescent="0.25">
      <c r="C14" s="88">
        <v>44472</v>
      </c>
      <c r="D14" s="39" t="s">
        <v>26</v>
      </c>
      <c r="E14" s="58" t="s">
        <v>3</v>
      </c>
      <c r="F14" s="40" t="s">
        <v>1</v>
      </c>
      <c r="G14" s="57" t="s">
        <v>10</v>
      </c>
      <c r="H14" s="40" t="s">
        <v>0</v>
      </c>
      <c r="I14" s="57" t="s">
        <v>4</v>
      </c>
      <c r="J14" s="40" t="s">
        <v>8</v>
      </c>
      <c r="K14" s="57" t="s">
        <v>6</v>
      </c>
      <c r="L14" s="32"/>
      <c r="M14" s="48" t="s">
        <v>1</v>
      </c>
      <c r="N14" s="41" t="str">
        <f t="shared" si="0"/>
        <v>B.Hornes</v>
      </c>
      <c r="O14" s="42">
        <f>COUNTIF($D$12:$D$42,"B")</f>
        <v>4</v>
      </c>
      <c r="P14" s="42">
        <f>COUNTIF($F$12:$F$42,"B")</f>
        <v>8</v>
      </c>
      <c r="Q14" s="42">
        <f>COUNTIF($H$12:$H$42,"B")</f>
        <v>8</v>
      </c>
      <c r="R14" s="42">
        <f>COUNTIF($J$12:$J$42,"B")</f>
        <v>5</v>
      </c>
      <c r="S14" s="44"/>
      <c r="T14" s="44"/>
      <c r="U14" s="43">
        <f t="shared" si="1"/>
        <v>25</v>
      </c>
      <c r="V14" s="42">
        <f t="shared" ref="V14:V23" si="2">31-U14</f>
        <v>6</v>
      </c>
    </row>
    <row r="15" spans="3:22" ht="15.75" x14ac:dyDescent="0.25">
      <c r="C15" s="88">
        <v>44473</v>
      </c>
      <c r="D15" s="39" t="s">
        <v>26</v>
      </c>
      <c r="E15" s="58" t="s">
        <v>3</v>
      </c>
      <c r="F15" s="40" t="s">
        <v>1</v>
      </c>
      <c r="G15" s="57" t="s">
        <v>10</v>
      </c>
      <c r="H15" s="40" t="s">
        <v>27</v>
      </c>
      <c r="I15" s="57" t="s">
        <v>28</v>
      </c>
      <c r="J15" s="40" t="s">
        <v>8</v>
      </c>
      <c r="K15" s="57" t="s">
        <v>6</v>
      </c>
      <c r="L15" s="32"/>
      <c r="M15" s="48" t="s">
        <v>0</v>
      </c>
      <c r="N15" s="41" t="str">
        <f t="shared" si="0"/>
        <v>Allan</v>
      </c>
      <c r="O15" s="42">
        <f>COUNTIF($D$12:$D$42,"C")</f>
        <v>8</v>
      </c>
      <c r="P15" s="42">
        <f>COUNTIF($F$12:$F$42,"C")</f>
        <v>4</v>
      </c>
      <c r="Q15" s="42">
        <f>COUNTIF($H$12:$H$42,"C")</f>
        <v>7</v>
      </c>
      <c r="R15" s="42">
        <f>COUNTIF($J$12:$J$42,"C")</f>
        <v>6</v>
      </c>
      <c r="S15" s="44"/>
      <c r="T15" s="44"/>
      <c r="U15" s="43">
        <f t="shared" si="1"/>
        <v>25</v>
      </c>
      <c r="V15" s="42">
        <f t="shared" si="2"/>
        <v>6</v>
      </c>
    </row>
    <row r="16" spans="3:22" ht="15.75" x14ac:dyDescent="0.25">
      <c r="C16" s="88">
        <v>44474</v>
      </c>
      <c r="D16" s="39" t="s">
        <v>0</v>
      </c>
      <c r="E16" s="58" t="s">
        <v>4</v>
      </c>
      <c r="F16" s="40" t="s">
        <v>1</v>
      </c>
      <c r="G16" s="57" t="s">
        <v>10</v>
      </c>
      <c r="H16" s="40" t="s">
        <v>27</v>
      </c>
      <c r="I16" s="57" t="s">
        <v>28</v>
      </c>
      <c r="J16" s="40" t="s">
        <v>8</v>
      </c>
      <c r="K16" s="57" t="s">
        <v>6</v>
      </c>
      <c r="L16" s="32"/>
      <c r="M16" s="48" t="s">
        <v>27</v>
      </c>
      <c r="N16" s="41" t="str">
        <f t="shared" si="0"/>
        <v>Eduardo</v>
      </c>
      <c r="O16" s="42">
        <f>COUNTIF($D$12:$D$42,"D")</f>
        <v>7</v>
      </c>
      <c r="P16" s="42">
        <f>COUNTIF($F$12:$F$42,"D")</f>
        <v>6</v>
      </c>
      <c r="Q16" s="42">
        <f>COUNTIF($H$12:$H$42,"D")</f>
        <v>8</v>
      </c>
      <c r="R16" s="42">
        <f>COUNTIF($J$12:$J$42,"D")</f>
        <v>4</v>
      </c>
      <c r="S16" s="44"/>
      <c r="T16" s="44"/>
      <c r="U16" s="43">
        <f t="shared" si="1"/>
        <v>25</v>
      </c>
      <c r="V16" s="42">
        <f t="shared" si="2"/>
        <v>6</v>
      </c>
    </row>
    <row r="17" spans="3:22" ht="15.75" x14ac:dyDescent="0.25">
      <c r="C17" s="88">
        <v>44475</v>
      </c>
      <c r="D17" s="39" t="s">
        <v>0</v>
      </c>
      <c r="E17" s="58" t="s">
        <v>4</v>
      </c>
      <c r="F17" s="40" t="s">
        <v>1</v>
      </c>
      <c r="G17" s="57" t="s">
        <v>10</v>
      </c>
      <c r="H17" s="40" t="s">
        <v>27</v>
      </c>
      <c r="I17" s="57" t="s">
        <v>28</v>
      </c>
      <c r="J17" s="40" t="s">
        <v>26</v>
      </c>
      <c r="K17" s="57" t="s">
        <v>3</v>
      </c>
      <c r="L17" s="33"/>
      <c r="M17" s="48" t="s">
        <v>8</v>
      </c>
      <c r="N17" s="41" t="str">
        <f t="shared" si="0"/>
        <v>Marco</v>
      </c>
      <c r="O17" s="42">
        <f>COUNTIF($D$12:$D$42,"E")</f>
        <v>4</v>
      </c>
      <c r="P17" s="42">
        <f>COUNTIF($F$12:$F$42,"E")</f>
        <v>8</v>
      </c>
      <c r="Q17" s="42">
        <f>COUNTIF($H$12:$H$42,"E")</f>
        <v>4</v>
      </c>
      <c r="R17" s="42">
        <f>COUNTIF($J$12:$J$42,"E")</f>
        <v>8</v>
      </c>
      <c r="S17" s="44"/>
      <c r="T17" s="44"/>
      <c r="U17" s="43">
        <f t="shared" si="1"/>
        <v>24</v>
      </c>
      <c r="V17" s="42">
        <f t="shared" si="2"/>
        <v>7</v>
      </c>
    </row>
    <row r="18" spans="3:22" ht="15.75" x14ac:dyDescent="0.25">
      <c r="C18" s="88">
        <v>44476</v>
      </c>
      <c r="D18" s="39" t="s">
        <v>0</v>
      </c>
      <c r="E18" s="58" t="s">
        <v>4</v>
      </c>
      <c r="F18" s="40" t="s">
        <v>8</v>
      </c>
      <c r="G18" s="57" t="s">
        <v>6</v>
      </c>
      <c r="H18" s="40" t="s">
        <v>27</v>
      </c>
      <c r="I18" s="57" t="s">
        <v>28</v>
      </c>
      <c r="J18" s="40" t="s">
        <v>26</v>
      </c>
      <c r="K18" s="57" t="s">
        <v>3</v>
      </c>
      <c r="L18" s="32"/>
      <c r="M18" s="60" t="s">
        <v>12</v>
      </c>
      <c r="N18" s="61" t="str">
        <f t="shared" si="0"/>
        <v>Rodrigo</v>
      </c>
      <c r="O18" s="62">
        <f>COUNTIF($D$12:$D$42,"F")</f>
        <v>0</v>
      </c>
      <c r="P18" s="62">
        <f>COUNTIF($F$12:$F$42,"F")</f>
        <v>0</v>
      </c>
      <c r="Q18" s="62">
        <f>COUNTIF($H$12:$H$42,"F")</f>
        <v>0</v>
      </c>
      <c r="R18" s="62">
        <f>COUNTIF($J$12:$J$42,"F")</f>
        <v>0</v>
      </c>
      <c r="S18" s="63"/>
      <c r="T18" s="63"/>
      <c r="U18" s="64">
        <f t="shared" si="1"/>
        <v>0</v>
      </c>
      <c r="V18" s="62">
        <f t="shared" si="2"/>
        <v>31</v>
      </c>
    </row>
    <row r="19" spans="3:22" ht="15.75" x14ac:dyDescent="0.25">
      <c r="C19" s="88">
        <v>44477</v>
      </c>
      <c r="D19" s="39" t="s">
        <v>0</v>
      </c>
      <c r="E19" s="58" t="s">
        <v>4</v>
      </c>
      <c r="F19" s="40" t="s">
        <v>8</v>
      </c>
      <c r="G19" s="57" t="s">
        <v>6</v>
      </c>
      <c r="H19" s="40" t="s">
        <v>1</v>
      </c>
      <c r="I19" s="57" t="s">
        <v>10</v>
      </c>
      <c r="J19" s="40" t="s">
        <v>26</v>
      </c>
      <c r="K19" s="57" t="s">
        <v>3</v>
      </c>
      <c r="L19" s="32"/>
      <c r="M19" s="51" t="s">
        <v>3</v>
      </c>
      <c r="N19" s="59" t="str">
        <f t="shared" ref="N19:N24" si="3">F3</f>
        <v>Brancão</v>
      </c>
      <c r="O19" s="53">
        <f>COUNTIF($E$12:$E$42,"G")</f>
        <v>8</v>
      </c>
      <c r="P19" s="53">
        <f>COUNTIF($G$12:$G$42,"G")</f>
        <v>5</v>
      </c>
      <c r="Q19" s="53">
        <f>COUNTIF($I$12:$I$42,"G")</f>
        <v>4</v>
      </c>
      <c r="R19" s="53">
        <f>COUNTIF($K$12:$K$42,"G")</f>
        <v>8</v>
      </c>
      <c r="S19" s="52"/>
      <c r="T19" s="52"/>
      <c r="U19" s="54">
        <f t="shared" si="1"/>
        <v>25</v>
      </c>
      <c r="V19" s="53">
        <f t="shared" si="2"/>
        <v>6</v>
      </c>
    </row>
    <row r="20" spans="3:22" ht="15.75" x14ac:dyDescent="0.25">
      <c r="C20" s="88">
        <v>44478</v>
      </c>
      <c r="D20" s="39" t="s">
        <v>27</v>
      </c>
      <c r="E20" s="58" t="s">
        <v>28</v>
      </c>
      <c r="F20" s="40" t="s">
        <v>8</v>
      </c>
      <c r="G20" s="57" t="s">
        <v>6</v>
      </c>
      <c r="H20" s="40" t="s">
        <v>1</v>
      </c>
      <c r="I20" s="57" t="s">
        <v>10</v>
      </c>
      <c r="J20" s="40" t="s">
        <v>26</v>
      </c>
      <c r="K20" s="57" t="s">
        <v>3</v>
      </c>
      <c r="L20" s="32"/>
      <c r="M20" s="55" t="s">
        <v>10</v>
      </c>
      <c r="N20" s="59" t="str">
        <f t="shared" si="3"/>
        <v>Stephanie</v>
      </c>
      <c r="O20" s="53">
        <f>COUNTIF($E$12:$E$42,"H")</f>
        <v>4</v>
      </c>
      <c r="P20" s="53">
        <f>COUNTIF($G$12:$G$42,"H")</f>
        <v>8</v>
      </c>
      <c r="Q20" s="53">
        <f>COUNTIF($I$12:$I$42,"H")</f>
        <v>8</v>
      </c>
      <c r="R20" s="53">
        <f>COUNTIF($K$12:$K$42,"H")</f>
        <v>5</v>
      </c>
      <c r="S20" s="56"/>
      <c r="T20" s="56"/>
      <c r="U20" s="54">
        <f t="shared" si="1"/>
        <v>25</v>
      </c>
      <c r="V20" s="53">
        <f t="shared" si="2"/>
        <v>6</v>
      </c>
    </row>
    <row r="21" spans="3:22" ht="15.75" x14ac:dyDescent="0.25">
      <c r="C21" s="88">
        <v>44479</v>
      </c>
      <c r="D21" s="39" t="s">
        <v>27</v>
      </c>
      <c r="E21" s="58" t="s">
        <v>28</v>
      </c>
      <c r="F21" s="40" t="s">
        <v>8</v>
      </c>
      <c r="G21" s="57" t="s">
        <v>6</v>
      </c>
      <c r="H21" s="40" t="s">
        <v>1</v>
      </c>
      <c r="I21" s="57" t="s">
        <v>10</v>
      </c>
      <c r="J21" s="40" t="s">
        <v>0</v>
      </c>
      <c r="K21" s="57" t="s">
        <v>4</v>
      </c>
      <c r="L21" s="34"/>
      <c r="M21" s="55" t="s">
        <v>4</v>
      </c>
      <c r="N21" s="59" t="str">
        <f t="shared" si="3"/>
        <v>Flavia</v>
      </c>
      <c r="O21" s="53">
        <f>COUNTIF($E$12:$E$42,"I")</f>
        <v>8</v>
      </c>
      <c r="P21" s="53">
        <f>COUNTIF($G$12:$G$42,"I")</f>
        <v>4</v>
      </c>
      <c r="Q21" s="53">
        <f>COUNTIF($I$12:$I$42,"I")</f>
        <v>7</v>
      </c>
      <c r="R21" s="53">
        <f>COUNTIF($K$12:$K$42,"I")</f>
        <v>6</v>
      </c>
      <c r="S21" s="56"/>
      <c r="T21" s="56"/>
      <c r="U21" s="54">
        <f t="shared" si="1"/>
        <v>25</v>
      </c>
      <c r="V21" s="53">
        <f t="shared" si="2"/>
        <v>6</v>
      </c>
    </row>
    <row r="22" spans="3:22" ht="15.75" x14ac:dyDescent="0.25">
      <c r="C22" s="88">
        <v>44480</v>
      </c>
      <c r="D22" s="39" t="s">
        <v>27</v>
      </c>
      <c r="E22" s="58" t="s">
        <v>28</v>
      </c>
      <c r="F22" s="40" t="s">
        <v>26</v>
      </c>
      <c r="G22" s="57" t="s">
        <v>3</v>
      </c>
      <c r="H22" s="40" t="s">
        <v>1</v>
      </c>
      <c r="I22" s="57" t="s">
        <v>10</v>
      </c>
      <c r="J22" s="40" t="s">
        <v>0</v>
      </c>
      <c r="K22" s="57" t="s">
        <v>4</v>
      </c>
      <c r="L22" s="32"/>
      <c r="M22" s="55" t="s">
        <v>28</v>
      </c>
      <c r="N22" s="59" t="str">
        <f t="shared" si="3"/>
        <v>B.Machado</v>
      </c>
      <c r="O22" s="53">
        <f>COUNTIF($E$12:$E$42,"J")</f>
        <v>7</v>
      </c>
      <c r="P22" s="53">
        <f>COUNTIF($G$12:$G$42,"J")</f>
        <v>6</v>
      </c>
      <c r="Q22" s="53">
        <f>COUNTIF($I$12:$I$42,"J")</f>
        <v>8</v>
      </c>
      <c r="R22" s="53">
        <f>COUNTIF($K$12:$K$42,"J")</f>
        <v>4</v>
      </c>
      <c r="S22" s="56"/>
      <c r="T22" s="56"/>
      <c r="U22" s="54">
        <f t="shared" si="1"/>
        <v>25</v>
      </c>
      <c r="V22" s="53">
        <f t="shared" si="2"/>
        <v>6</v>
      </c>
    </row>
    <row r="23" spans="3:22" ht="15.75" x14ac:dyDescent="0.25">
      <c r="C23" s="88">
        <v>44481</v>
      </c>
      <c r="D23" s="39" t="s">
        <v>27</v>
      </c>
      <c r="E23" s="58" t="s">
        <v>28</v>
      </c>
      <c r="F23" s="40" t="s">
        <v>26</v>
      </c>
      <c r="G23" s="57" t="s">
        <v>3</v>
      </c>
      <c r="H23" s="40" t="s">
        <v>8</v>
      </c>
      <c r="I23" s="57" t="s">
        <v>6</v>
      </c>
      <c r="J23" s="40" t="s">
        <v>0</v>
      </c>
      <c r="K23" s="57" t="s">
        <v>4</v>
      </c>
      <c r="L23" s="33"/>
      <c r="M23" s="55" t="s">
        <v>6</v>
      </c>
      <c r="N23" s="59" t="str">
        <f t="shared" si="3"/>
        <v>Thais</v>
      </c>
      <c r="O23" s="53">
        <f>COUNTIF($E$12:$E$42,"K")</f>
        <v>4</v>
      </c>
      <c r="P23" s="53">
        <f>COUNTIF($G$12:$G$42,"K")</f>
        <v>8</v>
      </c>
      <c r="Q23" s="53">
        <f>COUNTIF($I$12:$I$42,"K")</f>
        <v>4</v>
      </c>
      <c r="R23" s="53">
        <f>COUNTIF($K$12:$K$42,"K")</f>
        <v>8</v>
      </c>
      <c r="S23" s="56"/>
      <c r="T23" s="56"/>
      <c r="U23" s="54">
        <f t="shared" si="1"/>
        <v>24</v>
      </c>
      <c r="V23" s="53">
        <f t="shared" si="2"/>
        <v>7</v>
      </c>
    </row>
    <row r="24" spans="3:22" ht="15.75" x14ac:dyDescent="0.25">
      <c r="C24" s="88">
        <v>44482</v>
      </c>
      <c r="D24" s="39" t="s">
        <v>1</v>
      </c>
      <c r="E24" s="58" t="s">
        <v>10</v>
      </c>
      <c r="F24" s="40" t="s">
        <v>26</v>
      </c>
      <c r="G24" s="57" t="s">
        <v>3</v>
      </c>
      <c r="H24" s="40" t="s">
        <v>8</v>
      </c>
      <c r="I24" s="57" t="s">
        <v>6</v>
      </c>
      <c r="J24" s="40" t="s">
        <v>0</v>
      </c>
      <c r="K24" s="57" t="s">
        <v>4</v>
      </c>
      <c r="L24" s="33"/>
      <c r="M24" s="73" t="s">
        <v>59</v>
      </c>
      <c r="N24" s="74" t="str">
        <f t="shared" si="3"/>
        <v>Bernardo</v>
      </c>
      <c r="O24" s="75"/>
      <c r="P24" s="62"/>
      <c r="Q24" s="62"/>
      <c r="R24" s="62"/>
      <c r="S24" s="76"/>
      <c r="T24" s="76"/>
      <c r="U24" s="64"/>
      <c r="V24" s="62"/>
    </row>
    <row r="25" spans="3:22" x14ac:dyDescent="0.25">
      <c r="C25" s="88">
        <v>44483</v>
      </c>
      <c r="D25" s="39" t="s">
        <v>1</v>
      </c>
      <c r="E25" s="58" t="s">
        <v>10</v>
      </c>
      <c r="F25" s="40" t="s">
        <v>26</v>
      </c>
      <c r="G25" s="57" t="s">
        <v>3</v>
      </c>
      <c r="H25" s="40" t="s">
        <v>8</v>
      </c>
      <c r="I25" s="57" t="s">
        <v>6</v>
      </c>
      <c r="J25" s="40" t="s">
        <v>27</v>
      </c>
      <c r="K25" s="57" t="s">
        <v>28</v>
      </c>
      <c r="L25" s="32"/>
    </row>
    <row r="26" spans="3:22" x14ac:dyDescent="0.25">
      <c r="C26" s="88">
        <v>44484</v>
      </c>
      <c r="D26" s="39" t="s">
        <v>1</v>
      </c>
      <c r="E26" s="58" t="s">
        <v>10</v>
      </c>
      <c r="F26" s="40" t="s">
        <v>0</v>
      </c>
      <c r="G26" s="57" t="s">
        <v>4</v>
      </c>
      <c r="H26" s="40" t="s">
        <v>8</v>
      </c>
      <c r="I26" s="57" t="s">
        <v>6</v>
      </c>
      <c r="J26" s="40" t="s">
        <v>27</v>
      </c>
      <c r="K26" s="57" t="s">
        <v>28</v>
      </c>
      <c r="L26" s="32"/>
      <c r="M26" s="35"/>
      <c r="N26" s="35"/>
      <c r="O26" s="35"/>
      <c r="P26" s="35"/>
      <c r="Q26" s="35"/>
    </row>
    <row r="27" spans="3:22" x14ac:dyDescent="0.25">
      <c r="C27" s="88">
        <v>44485</v>
      </c>
      <c r="D27" s="39" t="s">
        <v>1</v>
      </c>
      <c r="E27" s="58" t="s">
        <v>10</v>
      </c>
      <c r="F27" s="40" t="s">
        <v>0</v>
      </c>
      <c r="G27" s="57" t="s">
        <v>4</v>
      </c>
      <c r="H27" s="40" t="s">
        <v>26</v>
      </c>
      <c r="I27" s="57" t="s">
        <v>3</v>
      </c>
      <c r="J27" s="40" t="s">
        <v>27</v>
      </c>
      <c r="K27" s="57" t="s">
        <v>28</v>
      </c>
      <c r="L27" s="32"/>
      <c r="M27" s="35"/>
      <c r="N27" s="35" t="s">
        <v>72</v>
      </c>
      <c r="O27" s="35"/>
      <c r="P27" s="35"/>
      <c r="Q27" s="35"/>
    </row>
    <row r="28" spans="3:22" x14ac:dyDescent="0.25">
      <c r="C28" s="88">
        <v>44486</v>
      </c>
      <c r="D28" s="39" t="s">
        <v>8</v>
      </c>
      <c r="E28" s="58" t="s">
        <v>6</v>
      </c>
      <c r="F28" s="40" t="s">
        <v>0</v>
      </c>
      <c r="G28" s="57" t="s">
        <v>4</v>
      </c>
      <c r="H28" s="40" t="s">
        <v>26</v>
      </c>
      <c r="I28" s="57" t="s">
        <v>3</v>
      </c>
      <c r="J28" s="40" t="s">
        <v>27</v>
      </c>
      <c r="K28" s="57" t="s">
        <v>28</v>
      </c>
      <c r="L28" s="32"/>
      <c r="M28" s="35"/>
      <c r="N28" s="36" t="s">
        <v>73</v>
      </c>
      <c r="O28" s="35"/>
      <c r="P28" s="35"/>
      <c r="Q28" s="35"/>
    </row>
    <row r="29" spans="3:22" x14ac:dyDescent="0.25">
      <c r="C29" s="88">
        <v>44487</v>
      </c>
      <c r="D29" s="39" t="s">
        <v>8</v>
      </c>
      <c r="E29" s="58" t="s">
        <v>6</v>
      </c>
      <c r="F29" s="40" t="s">
        <v>0</v>
      </c>
      <c r="G29" s="57" t="s">
        <v>4</v>
      </c>
      <c r="H29" s="40" t="s">
        <v>26</v>
      </c>
      <c r="I29" s="57" t="s">
        <v>3</v>
      </c>
      <c r="J29" s="40" t="s">
        <v>1</v>
      </c>
      <c r="K29" s="57" t="s">
        <v>10</v>
      </c>
      <c r="L29" s="32"/>
      <c r="M29" s="35"/>
      <c r="N29" s="35"/>
      <c r="O29" s="35"/>
      <c r="P29" s="35"/>
      <c r="Q29" s="35"/>
    </row>
    <row r="30" spans="3:22" x14ac:dyDescent="0.25">
      <c r="C30" s="88">
        <v>44488</v>
      </c>
      <c r="D30" s="39" t="s">
        <v>8</v>
      </c>
      <c r="E30" s="58" t="s">
        <v>6</v>
      </c>
      <c r="F30" s="40" t="s">
        <v>27</v>
      </c>
      <c r="G30" s="57" t="s">
        <v>28</v>
      </c>
      <c r="H30" s="40" t="s">
        <v>26</v>
      </c>
      <c r="I30" s="57" t="s">
        <v>3</v>
      </c>
      <c r="J30" s="40" t="s">
        <v>1</v>
      </c>
      <c r="K30" s="57" t="s">
        <v>10</v>
      </c>
      <c r="L30" s="32"/>
    </row>
    <row r="31" spans="3:22" x14ac:dyDescent="0.25">
      <c r="C31" s="88">
        <v>44489</v>
      </c>
      <c r="D31" s="39" t="s">
        <v>8</v>
      </c>
      <c r="E31" s="58" t="s">
        <v>6</v>
      </c>
      <c r="F31" s="40" t="s">
        <v>27</v>
      </c>
      <c r="G31" s="57" t="s">
        <v>28</v>
      </c>
      <c r="H31" s="40" t="s">
        <v>0</v>
      </c>
      <c r="I31" s="57" t="s">
        <v>4</v>
      </c>
      <c r="J31" s="40" t="s">
        <v>1</v>
      </c>
      <c r="K31" s="57" t="s">
        <v>10</v>
      </c>
      <c r="L31" s="32"/>
      <c r="M31" s="37"/>
      <c r="N31" s="37"/>
      <c r="O31" s="37"/>
      <c r="P31" s="37"/>
      <c r="Q31" s="37"/>
      <c r="R31" s="37"/>
    </row>
    <row r="32" spans="3:22" x14ac:dyDescent="0.25">
      <c r="C32" s="88">
        <v>44490</v>
      </c>
      <c r="D32" s="39" t="s">
        <v>26</v>
      </c>
      <c r="E32" s="58" t="s">
        <v>3</v>
      </c>
      <c r="F32" s="40" t="s">
        <v>27</v>
      </c>
      <c r="G32" s="57" t="s">
        <v>28</v>
      </c>
      <c r="H32" s="40" t="s">
        <v>0</v>
      </c>
      <c r="I32" s="57" t="s">
        <v>4</v>
      </c>
      <c r="J32" s="40" t="s">
        <v>1</v>
      </c>
      <c r="K32" s="57" t="s">
        <v>10</v>
      </c>
      <c r="L32" s="32"/>
    </row>
    <row r="33" spans="3:12" x14ac:dyDescent="0.25">
      <c r="C33" s="88">
        <v>44491</v>
      </c>
      <c r="D33" s="39" t="s">
        <v>26</v>
      </c>
      <c r="E33" s="58" t="s">
        <v>3</v>
      </c>
      <c r="F33" s="40" t="s">
        <v>27</v>
      </c>
      <c r="G33" s="57" t="s">
        <v>28</v>
      </c>
      <c r="H33" s="40" t="s">
        <v>0</v>
      </c>
      <c r="I33" s="57" t="s">
        <v>4</v>
      </c>
      <c r="J33" s="40" t="s">
        <v>8</v>
      </c>
      <c r="K33" s="57" t="s">
        <v>6</v>
      </c>
      <c r="L33" s="34"/>
    </row>
    <row r="34" spans="3:12" x14ac:dyDescent="0.25">
      <c r="C34" s="88">
        <v>44492</v>
      </c>
      <c r="D34" s="39" t="s">
        <v>26</v>
      </c>
      <c r="E34" s="58" t="s">
        <v>3</v>
      </c>
      <c r="F34" s="40" t="s">
        <v>1</v>
      </c>
      <c r="G34" s="57" t="s">
        <v>10</v>
      </c>
      <c r="H34" s="40" t="s">
        <v>0</v>
      </c>
      <c r="I34" s="57" t="s">
        <v>4</v>
      </c>
      <c r="J34" s="40" t="s">
        <v>8</v>
      </c>
      <c r="K34" s="57" t="s">
        <v>6</v>
      </c>
      <c r="L34" s="32"/>
    </row>
    <row r="35" spans="3:12" x14ac:dyDescent="0.25">
      <c r="C35" s="88">
        <v>44493</v>
      </c>
      <c r="D35" s="39" t="s">
        <v>26</v>
      </c>
      <c r="E35" s="58" t="s">
        <v>3</v>
      </c>
      <c r="F35" s="40" t="s">
        <v>1</v>
      </c>
      <c r="G35" s="57" t="s">
        <v>10</v>
      </c>
      <c r="H35" s="40" t="s">
        <v>27</v>
      </c>
      <c r="I35" s="57" t="s">
        <v>28</v>
      </c>
      <c r="J35" s="40" t="s">
        <v>8</v>
      </c>
      <c r="K35" s="57" t="s">
        <v>6</v>
      </c>
      <c r="L35" s="32"/>
    </row>
    <row r="36" spans="3:12" x14ac:dyDescent="0.25">
      <c r="C36" s="88">
        <v>44494</v>
      </c>
      <c r="D36" s="39" t="s">
        <v>0</v>
      </c>
      <c r="E36" s="58" t="s">
        <v>4</v>
      </c>
      <c r="F36" s="40" t="s">
        <v>1</v>
      </c>
      <c r="G36" s="57" t="s">
        <v>10</v>
      </c>
      <c r="H36" s="40" t="s">
        <v>27</v>
      </c>
      <c r="I36" s="57" t="s">
        <v>28</v>
      </c>
      <c r="J36" s="40" t="s">
        <v>8</v>
      </c>
      <c r="K36" s="57" t="s">
        <v>6</v>
      </c>
      <c r="L36" s="32"/>
    </row>
    <row r="37" spans="3:12" x14ac:dyDescent="0.25">
      <c r="C37" s="88">
        <v>44495</v>
      </c>
      <c r="D37" s="39" t="s">
        <v>0</v>
      </c>
      <c r="E37" s="58" t="s">
        <v>4</v>
      </c>
      <c r="F37" s="40" t="s">
        <v>1</v>
      </c>
      <c r="G37" s="57" t="s">
        <v>10</v>
      </c>
      <c r="H37" s="40" t="s">
        <v>27</v>
      </c>
      <c r="I37" s="57" t="s">
        <v>28</v>
      </c>
      <c r="J37" s="40" t="s">
        <v>26</v>
      </c>
      <c r="K37" s="57" t="s">
        <v>3</v>
      </c>
      <c r="L37" s="32"/>
    </row>
    <row r="38" spans="3:12" x14ac:dyDescent="0.25">
      <c r="C38" s="88">
        <v>44496</v>
      </c>
      <c r="D38" s="39" t="s">
        <v>0</v>
      </c>
      <c r="E38" s="58" t="s">
        <v>4</v>
      </c>
      <c r="F38" s="40" t="s">
        <v>8</v>
      </c>
      <c r="G38" s="57" t="s">
        <v>6</v>
      </c>
      <c r="H38" s="40" t="s">
        <v>27</v>
      </c>
      <c r="I38" s="57" t="s">
        <v>28</v>
      </c>
      <c r="J38" s="40" t="s">
        <v>26</v>
      </c>
      <c r="K38" s="57" t="s">
        <v>3</v>
      </c>
      <c r="L38" s="32"/>
    </row>
    <row r="39" spans="3:12" x14ac:dyDescent="0.25">
      <c r="C39" s="88">
        <v>44497</v>
      </c>
      <c r="D39" s="39" t="s">
        <v>0</v>
      </c>
      <c r="E39" s="58" t="s">
        <v>4</v>
      </c>
      <c r="F39" s="40" t="s">
        <v>8</v>
      </c>
      <c r="G39" s="57" t="s">
        <v>6</v>
      </c>
      <c r="H39" s="40" t="s">
        <v>1</v>
      </c>
      <c r="I39" s="57" t="s">
        <v>10</v>
      </c>
      <c r="J39" s="40" t="s">
        <v>26</v>
      </c>
      <c r="K39" s="57" t="s">
        <v>3</v>
      </c>
      <c r="L39" s="32"/>
    </row>
    <row r="40" spans="3:12" x14ac:dyDescent="0.25">
      <c r="C40" s="88">
        <v>44498</v>
      </c>
      <c r="D40" s="39" t="s">
        <v>27</v>
      </c>
      <c r="E40" s="58" t="s">
        <v>28</v>
      </c>
      <c r="F40" s="40" t="s">
        <v>8</v>
      </c>
      <c r="G40" s="57" t="s">
        <v>6</v>
      </c>
      <c r="H40" s="40" t="s">
        <v>1</v>
      </c>
      <c r="I40" s="57" t="s">
        <v>10</v>
      </c>
      <c r="J40" s="40" t="s">
        <v>26</v>
      </c>
      <c r="K40" s="57" t="s">
        <v>3</v>
      </c>
      <c r="L40" s="32"/>
    </row>
    <row r="41" spans="3:12" x14ac:dyDescent="0.25">
      <c r="C41" s="88">
        <v>44499</v>
      </c>
      <c r="D41" s="39" t="s">
        <v>27</v>
      </c>
      <c r="E41" s="58" t="s">
        <v>28</v>
      </c>
      <c r="F41" s="40" t="s">
        <v>8</v>
      </c>
      <c r="G41" s="57" t="s">
        <v>6</v>
      </c>
      <c r="H41" s="40" t="s">
        <v>1</v>
      </c>
      <c r="I41" s="57" t="s">
        <v>10</v>
      </c>
      <c r="J41" s="40" t="s">
        <v>0</v>
      </c>
      <c r="K41" s="57" t="s">
        <v>4</v>
      </c>
      <c r="L41" s="32"/>
    </row>
    <row r="42" spans="3:12" x14ac:dyDescent="0.25">
      <c r="C42" s="88">
        <v>44500</v>
      </c>
      <c r="D42" s="39" t="s">
        <v>27</v>
      </c>
      <c r="E42" s="58" t="s">
        <v>28</v>
      </c>
      <c r="F42" s="40" t="s">
        <v>26</v>
      </c>
      <c r="G42" s="57" t="s">
        <v>3</v>
      </c>
      <c r="H42" s="40" t="s">
        <v>1</v>
      </c>
      <c r="I42" s="57" t="s">
        <v>10</v>
      </c>
      <c r="J42" s="40" t="s">
        <v>0</v>
      </c>
      <c r="K42" s="57" t="s">
        <v>4</v>
      </c>
      <c r="L42" s="32"/>
    </row>
    <row r="43" spans="3:12" x14ac:dyDescent="0.25">
      <c r="C43" s="36"/>
      <c r="D43" s="38"/>
      <c r="E43" s="38"/>
      <c r="F43" s="38"/>
      <c r="G43" s="38"/>
      <c r="H43" s="38"/>
      <c r="I43" s="38"/>
    </row>
  </sheetData>
  <autoFilter ref="B11:V42" xr:uid="{00000000-0009-0000-0000-00000D000000}">
    <filterColumn colId="0" showButton="0"/>
  </autoFilter>
  <mergeCells count="2">
    <mergeCell ref="C2:D2"/>
    <mergeCell ref="E2:F2"/>
  </mergeCells>
  <pageMargins left="0.25" right="0.25" top="0.75" bottom="0.75" header="0.3" footer="0.3"/>
  <pageSetup paperSize="9" scale="74" orientation="landscape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B2:W43"/>
  <sheetViews>
    <sheetView showGridLines="0" topLeftCell="A7" zoomScaleNormal="100" workbookViewId="0">
      <selection activeCell="J12" sqref="J12:U42"/>
    </sheetView>
  </sheetViews>
  <sheetFormatPr defaultColWidth="9.140625" defaultRowHeight="15" x14ac:dyDescent="0.25"/>
  <cols>
    <col min="1" max="1" width="2.42578125" style="2" customWidth="1"/>
    <col min="2" max="2" width="11.5703125" bestFit="1" customWidth="1"/>
    <col min="3" max="3" width="12.5703125" style="2" customWidth="1"/>
    <col min="4" max="11" width="13.7109375" style="27" customWidth="1"/>
    <col min="12" max="12" width="4.7109375" style="2" customWidth="1"/>
    <col min="13" max="13" width="8.85546875"/>
    <col min="14" max="14" width="14.5703125" bestFit="1" customWidth="1"/>
    <col min="15" max="17" width="8.85546875"/>
    <col min="18" max="18" width="9.140625" customWidth="1"/>
    <col min="19" max="23" width="8.85546875" customWidth="1"/>
    <col min="24" max="16384" width="9.140625" style="2"/>
  </cols>
  <sheetData>
    <row r="2" spans="3:21" ht="15" customHeight="1" x14ac:dyDescent="0.25">
      <c r="C2" s="191" t="s">
        <v>22</v>
      </c>
      <c r="D2" s="191"/>
      <c r="E2" s="191"/>
      <c r="F2" s="191"/>
      <c r="G2" s="191"/>
      <c r="H2"/>
      <c r="I2"/>
      <c r="J2" s="2"/>
      <c r="K2" s="2"/>
    </row>
    <row r="3" spans="3:21" ht="15" customHeight="1" x14ac:dyDescent="0.25">
      <c r="C3" s="67" t="s">
        <v>26</v>
      </c>
      <c r="D3" s="65" t="s">
        <v>20</v>
      </c>
      <c r="E3" s="65" t="s">
        <v>20</v>
      </c>
      <c r="F3" s="65" t="s">
        <v>2</v>
      </c>
      <c r="G3" s="65" t="s">
        <v>2</v>
      </c>
      <c r="H3" s="2"/>
      <c r="I3" s="2"/>
      <c r="J3" s="2"/>
      <c r="K3" s="2"/>
    </row>
    <row r="4" spans="3:21" ht="15" customHeight="1" x14ac:dyDescent="0.25">
      <c r="C4" s="67" t="s">
        <v>1</v>
      </c>
      <c r="D4" s="65" t="s">
        <v>21</v>
      </c>
      <c r="E4" s="65" t="s">
        <v>21</v>
      </c>
      <c r="F4" s="65" t="s">
        <v>7</v>
      </c>
      <c r="G4" s="65" t="s">
        <v>7</v>
      </c>
      <c r="H4" s="2"/>
      <c r="I4" s="2"/>
      <c r="J4" s="2"/>
      <c r="K4" s="2"/>
    </row>
    <row r="5" spans="3:21" x14ac:dyDescent="0.25">
      <c r="C5" s="67" t="s">
        <v>0</v>
      </c>
      <c r="D5" s="65" t="s">
        <v>5</v>
      </c>
      <c r="E5" s="65" t="s">
        <v>5</v>
      </c>
      <c r="F5" s="65" t="s">
        <v>69</v>
      </c>
      <c r="G5" s="65" t="s">
        <v>69</v>
      </c>
      <c r="H5" s="2"/>
      <c r="I5" s="2"/>
      <c r="J5" s="2"/>
      <c r="K5" s="2"/>
    </row>
    <row r="6" spans="3:21" x14ac:dyDescent="0.25">
      <c r="C6" s="67" t="s">
        <v>27</v>
      </c>
      <c r="D6" s="65" t="s">
        <v>9</v>
      </c>
      <c r="E6" s="65" t="s">
        <v>9</v>
      </c>
      <c r="F6" s="65" t="s">
        <v>25</v>
      </c>
      <c r="G6" s="65" t="s">
        <v>25</v>
      </c>
      <c r="H6" s="2"/>
      <c r="I6" s="2"/>
      <c r="J6" s="2"/>
      <c r="K6" s="2"/>
    </row>
    <row r="7" spans="3:21" x14ac:dyDescent="0.25">
      <c r="C7" s="67" t="s">
        <v>8</v>
      </c>
      <c r="D7" s="65" t="s">
        <v>11</v>
      </c>
      <c r="E7" s="65" t="s">
        <v>11</v>
      </c>
      <c r="F7" s="65" t="s">
        <v>70</v>
      </c>
      <c r="G7" s="65" t="s">
        <v>70</v>
      </c>
      <c r="H7" s="2"/>
      <c r="I7" s="2"/>
      <c r="J7" s="2"/>
      <c r="K7" s="2"/>
    </row>
    <row r="8" spans="3:21" x14ac:dyDescent="0.25">
      <c r="C8" s="67" t="s">
        <v>12</v>
      </c>
      <c r="D8" s="65" t="s">
        <v>13</v>
      </c>
      <c r="E8" s="65" t="s">
        <v>13</v>
      </c>
      <c r="F8" s="65" t="s">
        <v>71</v>
      </c>
      <c r="G8" s="65" t="s">
        <v>71</v>
      </c>
      <c r="H8" s="2"/>
      <c r="I8" s="2"/>
      <c r="J8" s="2"/>
      <c r="K8" s="2"/>
    </row>
    <row r="9" spans="3:21" x14ac:dyDescent="0.25">
      <c r="C9" s="3"/>
      <c r="D9" s="6"/>
      <c r="E9" s="6"/>
      <c r="H9" s="6"/>
      <c r="I9" s="6"/>
      <c r="J9" s="6"/>
      <c r="K9" s="6"/>
    </row>
    <row r="10" spans="3:21" x14ac:dyDescent="0.25">
      <c r="C10" s="28"/>
      <c r="D10" s="29"/>
      <c r="E10" s="29"/>
      <c r="F10" s="29"/>
      <c r="G10" s="29"/>
      <c r="H10" s="29"/>
      <c r="I10" s="29"/>
      <c r="J10" s="29"/>
      <c r="K10" s="29"/>
    </row>
    <row r="11" spans="3:21" ht="15.75" customHeight="1" x14ac:dyDescent="0.25">
      <c r="C11" s="45" t="s">
        <v>39</v>
      </c>
      <c r="D11" s="46" t="s">
        <v>53</v>
      </c>
      <c r="E11" s="46" t="s">
        <v>53</v>
      </c>
      <c r="F11" s="46" t="s">
        <v>54</v>
      </c>
      <c r="G11" s="46" t="s">
        <v>54</v>
      </c>
      <c r="H11" s="46" t="s">
        <v>55</v>
      </c>
      <c r="I11" s="46" t="s">
        <v>55</v>
      </c>
      <c r="J11" s="46" t="s">
        <v>56</v>
      </c>
      <c r="K11" s="46" t="s">
        <v>56</v>
      </c>
    </row>
    <row r="12" spans="3:21" x14ac:dyDescent="0.25">
      <c r="C12" s="88">
        <v>44470</v>
      </c>
      <c r="D12" s="39" t="s">
        <v>26</v>
      </c>
      <c r="E12" s="58" t="s">
        <v>3</v>
      </c>
      <c r="F12" s="40" t="s">
        <v>1</v>
      </c>
      <c r="G12" s="57" t="s">
        <v>10</v>
      </c>
      <c r="H12" s="40" t="s">
        <v>27</v>
      </c>
      <c r="I12" s="57" t="s">
        <v>28</v>
      </c>
      <c r="J12" s="40" t="s">
        <v>8</v>
      </c>
      <c r="K12" s="57" t="s">
        <v>6</v>
      </c>
      <c r="L12" s="30"/>
    </row>
    <row r="13" spans="3:21" x14ac:dyDescent="0.25">
      <c r="C13" s="88">
        <v>44471</v>
      </c>
      <c r="D13" s="39" t="s">
        <v>26</v>
      </c>
      <c r="E13" s="58" t="s">
        <v>3</v>
      </c>
      <c r="F13" s="40" t="s">
        <v>1</v>
      </c>
      <c r="G13" s="57" t="s">
        <v>10</v>
      </c>
      <c r="H13" s="40" t="s">
        <v>27</v>
      </c>
      <c r="I13" s="57" t="s">
        <v>28</v>
      </c>
      <c r="J13" s="40" t="s">
        <v>8</v>
      </c>
      <c r="K13" s="57" t="s">
        <v>6</v>
      </c>
    </row>
    <row r="14" spans="3:21" ht="15.75" thickBot="1" x14ac:dyDescent="0.3">
      <c r="C14" s="88">
        <v>44472</v>
      </c>
      <c r="D14" s="39" t="s">
        <v>26</v>
      </c>
      <c r="E14" s="58" t="s">
        <v>3</v>
      </c>
      <c r="F14" s="40" t="s">
        <v>0</v>
      </c>
      <c r="G14" s="57" t="s">
        <v>4</v>
      </c>
      <c r="H14" s="40" t="s">
        <v>27</v>
      </c>
      <c r="I14" s="57" t="s">
        <v>28</v>
      </c>
      <c r="J14" s="40" t="s">
        <v>12</v>
      </c>
      <c r="K14" s="57" t="s">
        <v>59</v>
      </c>
      <c r="L14" s="32"/>
    </row>
    <row r="15" spans="3:21" ht="15.75" thickBot="1" x14ac:dyDescent="0.3">
      <c r="C15" s="88">
        <v>44473</v>
      </c>
      <c r="D15" s="39" t="s">
        <v>26</v>
      </c>
      <c r="E15" s="58" t="s">
        <v>3</v>
      </c>
      <c r="F15" s="40" t="s">
        <v>0</v>
      </c>
      <c r="G15" s="57" t="s">
        <v>4</v>
      </c>
      <c r="H15" s="40" t="s">
        <v>27</v>
      </c>
      <c r="I15" s="57" t="s">
        <v>28</v>
      </c>
      <c r="J15" s="40" t="s">
        <v>12</v>
      </c>
      <c r="K15" s="57" t="s">
        <v>59</v>
      </c>
      <c r="L15" s="32"/>
      <c r="N15" s="219" t="s">
        <v>74</v>
      </c>
      <c r="O15" s="220"/>
      <c r="P15" s="220"/>
      <c r="Q15" s="220"/>
      <c r="R15" s="220"/>
      <c r="S15" s="220"/>
      <c r="T15" s="220"/>
      <c r="U15" s="221"/>
    </row>
    <row r="16" spans="3:21" x14ac:dyDescent="0.25">
      <c r="C16" s="88">
        <v>44474</v>
      </c>
      <c r="D16" s="39" t="s">
        <v>1</v>
      </c>
      <c r="E16" s="58" t="s">
        <v>10</v>
      </c>
      <c r="F16" s="40" t="s">
        <v>0</v>
      </c>
      <c r="G16" s="57" t="s">
        <v>4</v>
      </c>
      <c r="H16" s="40" t="s">
        <v>8</v>
      </c>
      <c r="I16" s="57" t="s">
        <v>6</v>
      </c>
      <c r="J16" s="40" t="s">
        <v>12</v>
      </c>
      <c r="K16" s="57" t="s">
        <v>59</v>
      </c>
      <c r="L16" s="32"/>
    </row>
    <row r="17" spans="3:12" x14ac:dyDescent="0.25">
      <c r="C17" s="88">
        <v>44475</v>
      </c>
      <c r="D17" s="39" t="s">
        <v>1</v>
      </c>
      <c r="E17" s="58" t="s">
        <v>10</v>
      </c>
      <c r="F17" s="40" t="s">
        <v>0</v>
      </c>
      <c r="G17" s="57" t="s">
        <v>4</v>
      </c>
      <c r="H17" s="40" t="s">
        <v>8</v>
      </c>
      <c r="I17" s="57" t="s">
        <v>6</v>
      </c>
      <c r="J17" s="40" t="s">
        <v>12</v>
      </c>
      <c r="K17" s="57" t="s">
        <v>59</v>
      </c>
      <c r="L17" s="33"/>
    </row>
    <row r="18" spans="3:12" x14ac:dyDescent="0.25">
      <c r="C18" s="88">
        <v>44476</v>
      </c>
      <c r="D18" s="39" t="s">
        <v>1</v>
      </c>
      <c r="E18" s="58" t="s">
        <v>10</v>
      </c>
      <c r="F18" s="40" t="s">
        <v>27</v>
      </c>
      <c r="G18" s="57" t="s">
        <v>28</v>
      </c>
      <c r="H18" s="40" t="s">
        <v>8</v>
      </c>
      <c r="I18" s="57" t="s">
        <v>6</v>
      </c>
      <c r="J18" s="40" t="s">
        <v>26</v>
      </c>
      <c r="K18" s="57" t="s">
        <v>3</v>
      </c>
      <c r="L18" s="32"/>
    </row>
    <row r="19" spans="3:12" x14ac:dyDescent="0.25">
      <c r="C19" s="88">
        <v>44477</v>
      </c>
      <c r="D19" s="39" t="s">
        <v>1</v>
      </c>
      <c r="E19" s="58" t="s">
        <v>10</v>
      </c>
      <c r="F19" s="40" t="s">
        <v>27</v>
      </c>
      <c r="G19" s="57" t="s">
        <v>28</v>
      </c>
      <c r="H19" s="40" t="s">
        <v>8</v>
      </c>
      <c r="I19" s="57" t="s">
        <v>6</v>
      </c>
      <c r="J19" s="40" t="s">
        <v>26</v>
      </c>
      <c r="K19" s="57" t="s">
        <v>3</v>
      </c>
      <c r="L19" s="32"/>
    </row>
    <row r="20" spans="3:12" x14ac:dyDescent="0.25">
      <c r="C20" s="88">
        <v>44478</v>
      </c>
      <c r="D20" s="39" t="s">
        <v>0</v>
      </c>
      <c r="E20" s="58" t="s">
        <v>4</v>
      </c>
      <c r="F20" s="40" t="s">
        <v>27</v>
      </c>
      <c r="G20" s="57" t="s">
        <v>28</v>
      </c>
      <c r="H20" s="40" t="s">
        <v>12</v>
      </c>
      <c r="I20" s="57" t="s">
        <v>59</v>
      </c>
      <c r="J20" s="40" t="s">
        <v>26</v>
      </c>
      <c r="K20" s="57" t="s">
        <v>3</v>
      </c>
      <c r="L20" s="32"/>
    </row>
    <row r="21" spans="3:12" x14ac:dyDescent="0.25">
      <c r="C21" s="88">
        <v>44479</v>
      </c>
      <c r="D21" s="39" t="s">
        <v>0</v>
      </c>
      <c r="E21" s="58" t="s">
        <v>4</v>
      </c>
      <c r="F21" s="40" t="s">
        <v>27</v>
      </c>
      <c r="G21" s="57" t="s">
        <v>28</v>
      </c>
      <c r="H21" s="40" t="s">
        <v>12</v>
      </c>
      <c r="I21" s="57" t="s">
        <v>59</v>
      </c>
      <c r="J21" s="40" t="s">
        <v>26</v>
      </c>
      <c r="K21" s="57" t="s">
        <v>3</v>
      </c>
      <c r="L21" s="34"/>
    </row>
    <row r="22" spans="3:12" x14ac:dyDescent="0.25">
      <c r="C22" s="88">
        <v>44480</v>
      </c>
      <c r="D22" s="39" t="s">
        <v>0</v>
      </c>
      <c r="E22" s="58" t="s">
        <v>4</v>
      </c>
      <c r="F22" s="40" t="s">
        <v>8</v>
      </c>
      <c r="G22" s="57" t="s">
        <v>6</v>
      </c>
      <c r="H22" s="40" t="s">
        <v>12</v>
      </c>
      <c r="I22" s="57" t="s">
        <v>59</v>
      </c>
      <c r="J22" s="40" t="s">
        <v>1</v>
      </c>
      <c r="K22" s="57" t="s">
        <v>10</v>
      </c>
      <c r="L22" s="32"/>
    </row>
    <row r="23" spans="3:12" x14ac:dyDescent="0.25">
      <c r="C23" s="88">
        <v>44481</v>
      </c>
      <c r="D23" s="39" t="s">
        <v>0</v>
      </c>
      <c r="E23" s="58" t="s">
        <v>4</v>
      </c>
      <c r="F23" s="40" t="s">
        <v>8</v>
      </c>
      <c r="G23" s="57" t="s">
        <v>6</v>
      </c>
      <c r="H23" s="40" t="s">
        <v>12</v>
      </c>
      <c r="I23" s="57" t="s">
        <v>59</v>
      </c>
      <c r="J23" s="40" t="s">
        <v>1</v>
      </c>
      <c r="K23" s="57" t="s">
        <v>10</v>
      </c>
      <c r="L23" s="33"/>
    </row>
    <row r="24" spans="3:12" x14ac:dyDescent="0.25">
      <c r="C24" s="88">
        <v>44482</v>
      </c>
      <c r="D24" s="39" t="s">
        <v>27</v>
      </c>
      <c r="E24" s="58" t="s">
        <v>28</v>
      </c>
      <c r="F24" s="40" t="s">
        <v>8</v>
      </c>
      <c r="G24" s="57" t="s">
        <v>6</v>
      </c>
      <c r="H24" s="40" t="s">
        <v>26</v>
      </c>
      <c r="I24" s="57" t="s">
        <v>3</v>
      </c>
      <c r="J24" s="40" t="s">
        <v>1</v>
      </c>
      <c r="K24" s="57" t="s">
        <v>10</v>
      </c>
      <c r="L24" s="33"/>
    </row>
    <row r="25" spans="3:12" x14ac:dyDescent="0.25">
      <c r="C25" s="88">
        <v>44483</v>
      </c>
      <c r="D25" s="39" t="s">
        <v>27</v>
      </c>
      <c r="E25" s="58" t="s">
        <v>28</v>
      </c>
      <c r="F25" s="40" t="s">
        <v>8</v>
      </c>
      <c r="G25" s="57" t="s">
        <v>6</v>
      </c>
      <c r="H25" s="40" t="s">
        <v>26</v>
      </c>
      <c r="I25" s="57" t="s">
        <v>3</v>
      </c>
      <c r="J25" s="40" t="s">
        <v>1</v>
      </c>
      <c r="K25" s="57" t="s">
        <v>10</v>
      </c>
      <c r="L25" s="32"/>
    </row>
    <row r="26" spans="3:12" x14ac:dyDescent="0.25">
      <c r="C26" s="88">
        <v>44484</v>
      </c>
      <c r="D26" s="39" t="s">
        <v>27</v>
      </c>
      <c r="E26" s="58" t="s">
        <v>28</v>
      </c>
      <c r="F26" s="40" t="s">
        <v>12</v>
      </c>
      <c r="G26" s="57" t="s">
        <v>59</v>
      </c>
      <c r="H26" s="40" t="s">
        <v>26</v>
      </c>
      <c r="I26" s="57" t="s">
        <v>3</v>
      </c>
      <c r="J26" s="40" t="s">
        <v>0</v>
      </c>
      <c r="K26" s="57" t="s">
        <v>4</v>
      </c>
      <c r="L26" s="32"/>
    </row>
    <row r="27" spans="3:12" x14ac:dyDescent="0.25">
      <c r="C27" s="88">
        <v>44485</v>
      </c>
      <c r="D27" s="39" t="s">
        <v>27</v>
      </c>
      <c r="E27" s="58" t="s">
        <v>28</v>
      </c>
      <c r="F27" s="40" t="s">
        <v>12</v>
      </c>
      <c r="G27" s="57" t="s">
        <v>59</v>
      </c>
      <c r="H27" s="40" t="s">
        <v>26</v>
      </c>
      <c r="I27" s="57" t="s">
        <v>3</v>
      </c>
      <c r="J27" s="40" t="s">
        <v>0</v>
      </c>
      <c r="K27" s="57" t="s">
        <v>4</v>
      </c>
      <c r="L27" s="32"/>
    </row>
    <row r="28" spans="3:12" x14ac:dyDescent="0.25">
      <c r="C28" s="88">
        <v>44486</v>
      </c>
      <c r="D28" s="39" t="s">
        <v>8</v>
      </c>
      <c r="E28" s="58" t="s">
        <v>6</v>
      </c>
      <c r="F28" s="40" t="s">
        <v>12</v>
      </c>
      <c r="G28" s="57" t="s">
        <v>59</v>
      </c>
      <c r="H28" s="40" t="s">
        <v>1</v>
      </c>
      <c r="I28" s="57" t="s">
        <v>10</v>
      </c>
      <c r="J28" s="40" t="s">
        <v>0</v>
      </c>
      <c r="K28" s="57" t="s">
        <v>4</v>
      </c>
      <c r="L28" s="32"/>
    </row>
    <row r="29" spans="3:12" x14ac:dyDescent="0.25">
      <c r="C29" s="88">
        <v>44487</v>
      </c>
      <c r="D29" s="39" t="s">
        <v>8</v>
      </c>
      <c r="E29" s="58" t="s">
        <v>6</v>
      </c>
      <c r="F29" s="40" t="s">
        <v>12</v>
      </c>
      <c r="G29" s="57" t="s">
        <v>59</v>
      </c>
      <c r="H29" s="40" t="s">
        <v>1</v>
      </c>
      <c r="I29" s="57" t="s">
        <v>10</v>
      </c>
      <c r="J29" s="40" t="s">
        <v>0</v>
      </c>
      <c r="K29" s="57" t="s">
        <v>4</v>
      </c>
      <c r="L29" s="32"/>
    </row>
    <row r="30" spans="3:12" x14ac:dyDescent="0.25">
      <c r="C30" s="88">
        <v>44488</v>
      </c>
      <c r="D30" s="39" t="s">
        <v>8</v>
      </c>
      <c r="E30" s="58" t="s">
        <v>6</v>
      </c>
      <c r="F30" s="40" t="s">
        <v>26</v>
      </c>
      <c r="G30" s="57" t="s">
        <v>3</v>
      </c>
      <c r="H30" s="40" t="s">
        <v>1</v>
      </c>
      <c r="I30" s="57" t="s">
        <v>10</v>
      </c>
      <c r="J30" s="40" t="s">
        <v>27</v>
      </c>
      <c r="K30" s="57" t="s">
        <v>28</v>
      </c>
      <c r="L30" s="32"/>
    </row>
    <row r="31" spans="3:12" x14ac:dyDescent="0.25">
      <c r="C31" s="88">
        <v>44489</v>
      </c>
      <c r="D31" s="39" t="s">
        <v>8</v>
      </c>
      <c r="E31" s="58" t="s">
        <v>6</v>
      </c>
      <c r="F31" s="40" t="s">
        <v>26</v>
      </c>
      <c r="G31" s="57" t="s">
        <v>3</v>
      </c>
      <c r="H31" s="40" t="s">
        <v>1</v>
      </c>
      <c r="I31" s="57" t="s">
        <v>10</v>
      </c>
      <c r="J31" s="40" t="s">
        <v>27</v>
      </c>
      <c r="K31" s="57" t="s">
        <v>28</v>
      </c>
      <c r="L31" s="32"/>
    </row>
    <row r="32" spans="3:12" x14ac:dyDescent="0.25">
      <c r="C32" s="88">
        <v>44490</v>
      </c>
      <c r="D32" s="39" t="s">
        <v>12</v>
      </c>
      <c r="E32" s="58" t="s">
        <v>59</v>
      </c>
      <c r="F32" s="40" t="s">
        <v>26</v>
      </c>
      <c r="G32" s="57" t="s">
        <v>3</v>
      </c>
      <c r="H32" s="40" t="s">
        <v>0</v>
      </c>
      <c r="I32" s="57" t="s">
        <v>4</v>
      </c>
      <c r="J32" s="40" t="s">
        <v>27</v>
      </c>
      <c r="K32" s="57" t="s">
        <v>28</v>
      </c>
      <c r="L32" s="32"/>
    </row>
    <row r="33" spans="3:12" x14ac:dyDescent="0.25">
      <c r="C33" s="88">
        <v>44491</v>
      </c>
      <c r="D33" s="39" t="s">
        <v>12</v>
      </c>
      <c r="E33" s="58" t="s">
        <v>59</v>
      </c>
      <c r="F33" s="40" t="s">
        <v>26</v>
      </c>
      <c r="G33" s="57" t="s">
        <v>3</v>
      </c>
      <c r="H33" s="40" t="s">
        <v>0</v>
      </c>
      <c r="I33" s="57" t="s">
        <v>4</v>
      </c>
      <c r="J33" s="40" t="s">
        <v>27</v>
      </c>
      <c r="K33" s="57" t="s">
        <v>28</v>
      </c>
      <c r="L33" s="34"/>
    </row>
    <row r="34" spans="3:12" x14ac:dyDescent="0.25">
      <c r="C34" s="88">
        <v>44492</v>
      </c>
      <c r="D34" s="39" t="s">
        <v>12</v>
      </c>
      <c r="E34" s="58" t="s">
        <v>59</v>
      </c>
      <c r="F34" s="40" t="s">
        <v>1</v>
      </c>
      <c r="G34" s="57" t="s">
        <v>10</v>
      </c>
      <c r="H34" s="40" t="s">
        <v>0</v>
      </c>
      <c r="I34" s="57" t="s">
        <v>4</v>
      </c>
      <c r="J34" s="40" t="s">
        <v>8</v>
      </c>
      <c r="K34" s="57" t="s">
        <v>6</v>
      </c>
      <c r="L34" s="32"/>
    </row>
    <row r="35" spans="3:12" x14ac:dyDescent="0.25">
      <c r="C35" s="88">
        <v>44493</v>
      </c>
      <c r="D35" s="39" t="s">
        <v>12</v>
      </c>
      <c r="E35" s="58" t="s">
        <v>59</v>
      </c>
      <c r="F35" s="40" t="s">
        <v>1</v>
      </c>
      <c r="G35" s="57" t="s">
        <v>10</v>
      </c>
      <c r="H35" s="40" t="s">
        <v>0</v>
      </c>
      <c r="I35" s="57" t="s">
        <v>4</v>
      </c>
      <c r="J35" s="40" t="s">
        <v>8</v>
      </c>
      <c r="K35" s="57" t="s">
        <v>6</v>
      </c>
      <c r="L35" s="32"/>
    </row>
    <row r="36" spans="3:12" x14ac:dyDescent="0.25">
      <c r="C36" s="88">
        <v>44494</v>
      </c>
      <c r="D36" s="39" t="s">
        <v>26</v>
      </c>
      <c r="E36" s="58" t="s">
        <v>3</v>
      </c>
      <c r="F36" s="40" t="s">
        <v>1</v>
      </c>
      <c r="G36" s="57" t="s">
        <v>10</v>
      </c>
      <c r="H36" s="40" t="s">
        <v>27</v>
      </c>
      <c r="I36" s="57" t="s">
        <v>28</v>
      </c>
      <c r="J36" s="40" t="s">
        <v>8</v>
      </c>
      <c r="K36" s="57" t="s">
        <v>6</v>
      </c>
      <c r="L36" s="32"/>
    </row>
    <row r="37" spans="3:12" x14ac:dyDescent="0.25">
      <c r="C37" s="88">
        <v>44495</v>
      </c>
      <c r="D37" s="39" t="s">
        <v>26</v>
      </c>
      <c r="E37" s="58" t="s">
        <v>3</v>
      </c>
      <c r="F37" s="40" t="s">
        <v>1</v>
      </c>
      <c r="G37" s="57" t="s">
        <v>10</v>
      </c>
      <c r="H37" s="40" t="s">
        <v>27</v>
      </c>
      <c r="I37" s="57" t="s">
        <v>28</v>
      </c>
      <c r="J37" s="40" t="s">
        <v>8</v>
      </c>
      <c r="K37" s="57" t="s">
        <v>6</v>
      </c>
      <c r="L37" s="32"/>
    </row>
    <row r="38" spans="3:12" x14ac:dyDescent="0.25">
      <c r="C38" s="88">
        <v>44496</v>
      </c>
      <c r="D38" s="39" t="s">
        <v>26</v>
      </c>
      <c r="E38" s="58" t="s">
        <v>3</v>
      </c>
      <c r="F38" s="40" t="s">
        <v>0</v>
      </c>
      <c r="G38" s="57" t="s">
        <v>4</v>
      </c>
      <c r="H38" s="40" t="s">
        <v>27</v>
      </c>
      <c r="I38" s="57" t="s">
        <v>28</v>
      </c>
      <c r="J38" s="40" t="s">
        <v>12</v>
      </c>
      <c r="K38" s="57" t="s">
        <v>59</v>
      </c>
      <c r="L38" s="32"/>
    </row>
    <row r="39" spans="3:12" x14ac:dyDescent="0.25">
      <c r="C39" s="88">
        <v>44497</v>
      </c>
      <c r="D39" s="39" t="s">
        <v>26</v>
      </c>
      <c r="E39" s="58" t="s">
        <v>3</v>
      </c>
      <c r="F39" s="40" t="s">
        <v>0</v>
      </c>
      <c r="G39" s="57" t="s">
        <v>4</v>
      </c>
      <c r="H39" s="40" t="s">
        <v>27</v>
      </c>
      <c r="I39" s="57" t="s">
        <v>28</v>
      </c>
      <c r="J39" s="40" t="s">
        <v>12</v>
      </c>
      <c r="K39" s="57" t="s">
        <v>59</v>
      </c>
      <c r="L39" s="32"/>
    </row>
    <row r="40" spans="3:12" x14ac:dyDescent="0.25">
      <c r="C40" s="88">
        <v>44498</v>
      </c>
      <c r="D40" s="39" t="s">
        <v>1</v>
      </c>
      <c r="E40" s="58" t="s">
        <v>10</v>
      </c>
      <c r="F40" s="40" t="s">
        <v>0</v>
      </c>
      <c r="G40" s="57" t="s">
        <v>4</v>
      </c>
      <c r="H40" s="40" t="s">
        <v>8</v>
      </c>
      <c r="I40" s="57" t="s">
        <v>6</v>
      </c>
      <c r="J40" s="40" t="s">
        <v>12</v>
      </c>
      <c r="K40" s="57" t="s">
        <v>59</v>
      </c>
      <c r="L40" s="32"/>
    </row>
    <row r="41" spans="3:12" x14ac:dyDescent="0.25">
      <c r="C41" s="88">
        <v>44499</v>
      </c>
      <c r="D41" s="39" t="s">
        <v>1</v>
      </c>
      <c r="E41" s="58" t="s">
        <v>10</v>
      </c>
      <c r="F41" s="40" t="s">
        <v>0</v>
      </c>
      <c r="G41" s="57" t="s">
        <v>4</v>
      </c>
      <c r="H41" s="40" t="s">
        <v>8</v>
      </c>
      <c r="I41" s="57" t="s">
        <v>6</v>
      </c>
      <c r="J41" s="40" t="s">
        <v>12</v>
      </c>
      <c r="K41" s="57" t="s">
        <v>59</v>
      </c>
      <c r="L41" s="32"/>
    </row>
    <row r="42" spans="3:12" x14ac:dyDescent="0.25">
      <c r="C42" s="88">
        <v>44500</v>
      </c>
      <c r="D42" s="39" t="s">
        <v>1</v>
      </c>
      <c r="E42" s="58" t="s">
        <v>10</v>
      </c>
      <c r="F42" s="40" t="s">
        <v>27</v>
      </c>
      <c r="G42" s="57" t="s">
        <v>28</v>
      </c>
      <c r="H42" s="40" t="s">
        <v>8</v>
      </c>
      <c r="I42" s="57" t="s">
        <v>6</v>
      </c>
      <c r="J42" s="40" t="s">
        <v>26</v>
      </c>
      <c r="K42" s="57" t="s">
        <v>3</v>
      </c>
      <c r="L42" s="32"/>
    </row>
    <row r="43" spans="3:12" x14ac:dyDescent="0.25">
      <c r="C43" s="36"/>
      <c r="D43" s="38"/>
      <c r="E43" s="38"/>
      <c r="F43" s="38"/>
      <c r="G43" s="38"/>
      <c r="H43" s="38"/>
      <c r="I43" s="38"/>
    </row>
  </sheetData>
  <autoFilter ref="B11:V42" xr:uid="{00000000-0009-0000-0000-00000E000000}">
    <filterColumn colId="0" showButton="0"/>
  </autoFilter>
  <mergeCells count="3">
    <mergeCell ref="C2:E2"/>
    <mergeCell ref="F2:G2"/>
    <mergeCell ref="N15:U15"/>
  </mergeCells>
  <pageMargins left="0.25" right="0.25" top="0.75" bottom="0.75" header="0.3" footer="0.3"/>
  <pageSetup paperSize="9" scale="74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</vt:i4>
      </vt:variant>
    </vt:vector>
  </HeadingPairs>
  <TitlesOfParts>
    <vt:vector size="17" baseType="lpstr">
      <vt:lpstr>esqueleto 4x3 - FINAL</vt:lpstr>
      <vt:lpstr>esqueleto 4x2 - FINAL</vt:lpstr>
      <vt:lpstr>esqueleto 4x1 - FINAL</vt:lpstr>
      <vt:lpstr>TORRE-FEV</vt:lpstr>
      <vt:lpstr>torre fevereiro</vt:lpstr>
      <vt:lpstr>TORRE-MAR</vt:lpstr>
      <vt:lpstr>torre março</vt:lpstr>
      <vt:lpstr>TORRE-ABRIL</vt:lpstr>
      <vt:lpstr>torre Abril</vt:lpstr>
      <vt:lpstr>esqueleto 4x2 e 4x1 - Thais</vt:lpstr>
      <vt:lpstr>esqueleto 4x2</vt:lpstr>
      <vt:lpstr>esqueleto 4x1 - PLANTÕES</vt:lpstr>
      <vt:lpstr>esqueleto 4x1 - Com Folgas</vt:lpstr>
      <vt:lpstr>esqueleto 4x2 UM LADO</vt:lpstr>
      <vt:lpstr>'TORRE-ABRIL'!Area_de_impressao</vt:lpstr>
      <vt:lpstr>'TORRE-FEV'!Area_de_impressao</vt:lpstr>
      <vt:lpstr>'TORRE-MAR'!Area_de_impressao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Atalaia 02</dc:creator>
  <cp:lastModifiedBy>Home Office</cp:lastModifiedBy>
  <cp:lastPrinted>2025-10-02T19:20:37Z</cp:lastPrinted>
  <dcterms:created xsi:type="dcterms:W3CDTF">2021-01-27T11:18:34Z</dcterms:created>
  <dcterms:modified xsi:type="dcterms:W3CDTF">2025-12-04T15:52:44Z</dcterms:modified>
</cp:coreProperties>
</file>